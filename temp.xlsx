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efd0b43bcc4a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ac54e302a7994aac"/>
    <x:sheet xmlns:r="http://schemas.openxmlformats.org/officeDocument/2006/relationships" name="12-Month Plan" sheetId="2" r:id="R5ef0f3b3276b4c6e"/>
    <x:sheet xmlns:r="http://schemas.openxmlformats.org/officeDocument/2006/relationships" name="90-Day Plan" sheetId="3" r:id="Rb1c5dad72f634c61"/>
    <x:sheet xmlns:r="http://schemas.openxmlformats.org/officeDocument/2006/relationships" name="Weekly OS" sheetId="4" r:id="R8ff1ad05edd64dec"/>
    <x:sheet xmlns:r="http://schemas.openxmlformats.org/officeDocument/2006/relationships" name="KPI Dashboard" sheetId="5" r:id="R8f11e15a158645f0"/>
    <x:sheet xmlns:r="http://schemas.openxmlformats.org/officeDocument/2006/relationships" name="Content Plan" sheetId="6" r:id="Rd30efa74e51649ab"/>
    <x:sheet xmlns:r="http://schemas.openxmlformats.org/officeDocument/2006/relationships" name="Offer Ladder" sheetId="7" r:id="R2921e64a3e8d47fb"/>
    <x:sheet xmlns:r="http://schemas.openxmlformats.org/officeDocument/2006/relationships" name="Execution Tracker" sheetId="8" r:id="R0c5951269f264964"/>
    <x:sheet xmlns:r="http://schemas.openxmlformats.org/officeDocument/2006/relationships" name="Budget &amp; Revenue" sheetId="9" r:id="Rea98adc8e8ed492a"/>
    <x:sheet xmlns:r="http://schemas.openxmlformats.org/officeDocument/2006/relationships" name="Instructions" sheetId="10" r:id="Rb1fb042c5a144a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%"/>
    <x:numFmt numFmtId="202" formatCode="0"/>
    <x:numFmt numFmtId="203" formatCode="$#,##0.00"/>
    <x:numFmt numFmtId="204" formatCode="0.0%"/>
  </x:numFmts>
  <x:fonts count="8">
    <x:font>
      <x:sz val="11"/>
      <x:name val="Carlito"/>
    </x:font>
    <x:font>
      <x:b/>
      <x:sz val="16"/>
      <x:color rgb="FFFFFF"/>
      <x:name val="Carlito"/>
    </x:font>
    <x:font>
      <x:b/>
      <x:sz val="14"/>
      <x:color rgb="FFFFFF"/>
      <x:name val="Carlito"/>
    </x:font>
    <x:font>
      <x:b/>
      <x:sz val="11"/>
      <x:color rgb="0F172A"/>
      <x:name val="Carlito"/>
    </x:font>
    <x:font>
      <x:i/>
      <x:sz val="11"/>
      <x:color rgb="166534"/>
      <x:name val="Carlito"/>
    </x:font>
    <x:font>
      <x:b/>
      <x:sz val="11"/>
      <x:color rgb="000000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FFF7ED"/>
      </x:patternFill>
    </x:fill>
    <x:fill>
      <x:patternFill patternType="solid">
        <x:fgColor rgb="EAF4EA"/>
      </x:patternFill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EAF4EA"/>
      </x:patternFill>
    </x:fill>
    <x:fill>
      <x:patternFill patternType="solid">
        <x:fgColor rgb="F3F6FA"/>
      </x:patternFill>
    </x:fill>
  </x:fills>
  <x:borders count="1">
    <x:border/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0" fontId="2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horizontal="center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horizontal="center" wrapText="1"/>
    </x:xf>
    <x:xf numFmtId="0" fontId="6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21">
    <x:dxf>
      <x:fill>
        <x:patternFill>
          <x:bgColor rgb="DCFCE7"/>
        </x:patternFill>
      </x:fill>
    </x:dxf>
    <x:dxf>
      <x:fill>
        <x:patternFill>
          <x:bgColor rgb="FEF3C7"/>
        </x:patternFill>
      </x:fill>
    </x:dxf>
    <x:dxf>
      <x:fill>
        <x:patternFill>
          <x:bgColor rgb="FECACA"/>
        </x:patternFill>
      </x:fill>
    </x:dxf>
    <x:dxf>
      <x:fill>
        <x:patternFill>
          <x:bgColor rgb="FECACA"/>
        </x:patternFill>
      </x:fill>
    </x:dxf>
    <x:dxf>
      <x:fill>
        <x:patternFill>
          <x:bgColor rgb="FEF3C7"/>
        </x:patternFill>
      </x:fill>
    </x:dxf>
    <x:dxf>
      <x:fill>
        <x:patternFill>
          <x:bgColor rgb="DCFCE7"/>
        </x:patternFill>
      </x:fill>
    </x:dxf>
    <x:dxf>
      <x:fill>
        <x:patternFill patternType="solid">
          <x:bgColor rgb="FDE7E9"/>
        </x:patternFill>
      </x:fill>
    </x:dxf>
    <x:dxf>
      <x:fill>
        <x:patternFill patternType="solid">
          <x:bgColor rgb="FFF4CC"/>
        </x:patternFill>
      </x:fill>
    </x:dxf>
    <x:dxf>
      <x:fill>
        <x:patternFill patternType="solid">
          <x:bgColor rgb="E2F0D9"/>
        </x:patternFill>
      </x:fill>
    </x:dxf>
    <x:dxf>
      <x:font>
        <x:b/>
        <x:color rgb="216E39"/>
      </x:font>
      <x:fill>
        <x:patternFill patternType="solid">
          <x:bgColor rgb="E2F0D9"/>
        </x:patternFill>
      </x:fill>
    </x:dxf>
    <x:dxf>
      <x:font>
        <x:b/>
        <x:color rgb="7F6000"/>
      </x:font>
      <x:fill>
        <x:patternFill patternType="solid">
          <x:bgColor rgb="FFF4CC"/>
        </x:patternFill>
      </x:fill>
    </x:dxf>
    <x:dxf>
      <x:font>
        <x:b/>
        <x:color rgb="9E480E"/>
      </x:font>
      <x:fill>
        <x:patternFill patternType="solid">
          <x:bgColor rgb="FCE4D6"/>
        </x:patternFill>
      </x:fill>
    </x:dxf>
    <x:dxf>
      <x:font>
        <x:color rgb="666666"/>
      </x:font>
      <x:fill>
        <x:patternFill patternType="solid">
          <x:bgColor rgb="F2F2F2"/>
        </x:patternFill>
      </x:fill>
    </x:dxf>
    <x:dxf>
      <x:font>
        <x:b/>
        <x:color rgb="990000"/>
      </x:font>
      <x:fill>
        <x:patternFill patternType="solid">
          <x:bgColor rgb="F4CCCC"/>
        </x:patternFill>
      </x:fill>
    </x:dxf>
    <x:dxf>
      <x:font>
        <x:b/>
        <x:color rgb="7F6000"/>
      </x:font>
      <x:fill>
        <x:patternFill patternType="solid">
          <x:bgColor rgb="FFF2CC"/>
        </x:patternFill>
      </x:fill>
    </x:dxf>
    <x:dxf>
      <x:font>
        <x:color rgb="274E13"/>
      </x:font>
      <x:fill>
        <x:patternFill patternType="solid">
          <x:bgColor rgb="D9EAD3"/>
        </x:patternFill>
      </x:fill>
    </x:dxf>
    <x:dxf>
      <x:font>
        <x:b/>
        <x:color rgb="216E39"/>
      </x:font>
      <x:fill>
        <x:patternFill patternType="solid">
          <x:bgColor rgb="D9EAD3"/>
        </x:patternFill>
      </x:fill>
    </x:dxf>
    <x:dxf>
      <x:font>
        <x:b/>
        <x:color rgb="990000"/>
      </x:font>
      <x:fill>
        <x:patternFill patternType="solid">
          <x:bgColor rgb="F4CCCC"/>
        </x:patternFill>
      </x:fill>
    </x:dxf>
    <x:dxf>
      <x:font>
        <x:b/>
        <x:color rgb="274E13"/>
      </x:font>
      <x:fill>
        <x:patternFill patternType="solid">
          <x:bgColor rgb="D9EAD3"/>
        </x:patternFill>
      </x:fill>
    </x:dxf>
    <x:dxf>
      <x:fill>
        <x:patternFill patternType="solid">
          <x:bgColor rgb="FCE5CD"/>
        </x:patternFill>
      </x:fill>
    </x:dxf>
    <x:dxf>
      <x:fill>
        <x:patternFill patternType="solid">
          <x:bgColor rgb="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771674c5514ba9" /><Relationship Type="http://schemas.openxmlformats.org/officeDocument/2006/relationships/theme" Target="/xl/theme/theme1.xml" Id="R4da8b30857b64897" /><Relationship Type="http://schemas.openxmlformats.org/officeDocument/2006/relationships/sharedStrings" Target="/xl/sharedStrings.xml" Id="R46995d93170b4d70" /><Relationship Type="http://schemas.openxmlformats.org/officeDocument/2006/relationships/worksheet" Target="/xl/worksheets/sheet1.xml" Id="Rac54e302a7994aac" /><Relationship Type="http://schemas.openxmlformats.org/officeDocument/2006/relationships/worksheet" Target="/xl/worksheets/sheet2.xml" Id="R5ef0f3b3276b4c6e" /><Relationship Type="http://schemas.openxmlformats.org/officeDocument/2006/relationships/worksheet" Target="/xl/worksheets/sheet3.xml" Id="Rb1c5dad72f634c61" /><Relationship Type="http://schemas.openxmlformats.org/officeDocument/2006/relationships/worksheet" Target="/xl/worksheets/sheet4.xml" Id="R8ff1ad05edd64dec" /><Relationship Type="http://schemas.openxmlformats.org/officeDocument/2006/relationships/worksheet" Target="/xl/worksheets/sheet5.xml" Id="R8f11e15a158645f0" /><Relationship Type="http://schemas.openxmlformats.org/officeDocument/2006/relationships/worksheet" Target="/xl/worksheets/sheet6.xml" Id="Rd30efa74e51649ab" /><Relationship Type="http://schemas.openxmlformats.org/officeDocument/2006/relationships/worksheet" Target="/xl/worksheets/sheet7.xml" Id="R2921e64a3e8d47fb" /><Relationship Type="http://schemas.openxmlformats.org/officeDocument/2006/relationships/worksheet" Target="/xl/worksheets/sheet8.xml" Id="R0c5951269f264964" /><Relationship Type="http://schemas.openxmlformats.org/officeDocument/2006/relationships/worksheet" Target="/xl/worksheets/sheet9.xml" Id="Rea98adc8e8ed492a" /><Relationship Type="http://schemas.openxmlformats.org/officeDocument/2006/relationships/worksheet" Target="/xl/worksheets/sheet10.xml" Id="Rb1fb042c5a144a8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1fde4ea6f1b4a4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 vs Expense vs Profit</a:t>
            </a:r>
          </a:p>
        </c:rich>
      </c:tx>
      <c:overlay val="0"/>
    </c:title>
    <c:autoTitleDeleted val="0"/>
    <c:view3D/>
    <c:plotArea>
      <c:layout/>
      <c:lineChart>
        <c:ser>
          <c:idx val="0"/>
          <c:order val="0"/>
          <c:tx>
            <c:v>Product Dev</c:v>
          </c:tx>
          <c:marker/>
          <c:cat>
            <c:strRef>
              <c:f>'Budget &amp; Revenue'!$A$3:$A$14</c:f>
              <c:strCache>
                <c:ptCount val="0"/>
              </c:strCache>
            </c:strRef>
          </c:cat>
          <c:val>
            <c:numRef>
              <c:f>'Budget &amp; Revenue'!$B$3:$B$14</c:f>
              <c:numCache>
                <c:formatCode>$#,##0.00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Software / Tools</c:v>
          </c:tx>
          <c:marker/>
          <c:cat>
            <c:strRef>
              <c:f>'Budget &amp; Revenue'!$A$3:$A$14</c:f>
              <c:strCache>
                <c:ptCount val="0"/>
              </c:strCache>
            </c:strRef>
          </c:cat>
          <c:val>
            <c:numRef>
              <c:f>'Budget &amp; Revenue'!$C$3:$C$14</c:f>
              <c:numCache>
                <c:formatCode>$#,##0.00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Ads</c:v>
          </c:tx>
          <c:marker/>
          <c:cat>
            <c:strRef>
              <c:f>'Budget &amp; Revenue'!$A$3:$A$14</c:f>
              <c:strCache>
                <c:ptCount val="0"/>
              </c:strCache>
            </c:strRef>
          </c:cat>
          <c:val>
            <c:numRef>
              <c:f>'Budget &amp; Revenue'!$D$3:$D$14</c:f>
              <c:numCache>
                <c:formatCode>$#,##0.00</c:formatCode>
                <c:ptCount val="0"/>
              </c:numCache>
            </c:numRef>
          </c:val>
          <c:smooth val="0"/>
        </c:ser>
        <c:ser>
          <c:idx val="3"/>
          <c:order val="3"/>
          <c:tx>
            <c:v>Freelancers</c:v>
          </c:tx>
          <c:marker/>
          <c:cat>
            <c:strRef>
              <c:f>'Budget &amp; Revenue'!$A$3:$A$14</c:f>
              <c:strCache>
                <c:ptCount val="0"/>
              </c:strCache>
            </c:strRef>
          </c:cat>
          <c:val>
            <c:numRef>
              <c:f>'Budget &amp; Revenue'!$E$3:$E$14</c:f>
              <c:numCache>
                <c:formatCode>$#,##0.00</c:formatCode>
                <c:ptCount val="0"/>
              </c:numCache>
            </c:numRef>
          </c:val>
          <c:smooth val="0"/>
        </c:ser>
        <c:ser>
          <c:idx val="4"/>
          <c:order val="4"/>
          <c:tx>
            <c:v>Education</c:v>
          </c:tx>
          <c:marker/>
          <c:cat>
            <c:strRef>
              <c:f>'Budget &amp; Revenue'!$A$3:$A$14</c:f>
              <c:strCache>
                <c:ptCount val="0"/>
              </c:strCache>
            </c:strRef>
          </c:cat>
          <c:val>
            <c:numRef>
              <c:f>'Budget &amp; Revenue'!$F$3:$F$14</c:f>
              <c:numCache>
                <c:formatCode>$#,##0.00</c:formatCode>
                <c:ptCount val="0"/>
              </c:numCache>
            </c:numRef>
          </c:val>
          <c:smooth val="0"/>
        </c:ser>
        <c:ser>
          <c:idx val="5"/>
          <c:order val="5"/>
          <c:tx>
            <c:v>Misc</c:v>
          </c:tx>
          <c:marker/>
          <c:cat>
            <c:strRef>
              <c:f>'Budget &amp; Revenue'!$A$3:$A$14</c:f>
              <c:strCache>
                <c:ptCount val="0"/>
              </c:strCache>
            </c:strRef>
          </c:cat>
          <c:val>
            <c:numRef>
              <c:f>'Budget &amp; Revenue'!$G$3:$G$14</c:f>
              <c:numCache>
                <c:formatCode>$#,##0.00</c:formatCode>
                <c:ptCount val="0"/>
              </c:numCache>
            </c:numRef>
          </c:val>
          <c:smooth val="0"/>
        </c:ser>
        <c:ser>
          <c:idx val="6"/>
          <c:order val="6"/>
          <c:tx>
            <c:v>Total Expense</c:v>
          </c:tx>
          <c:marker/>
          <c:cat>
            <c:strRef>
              <c:f>'Budget &amp; Revenue'!$A$3:$A$14</c:f>
              <c:strCache>
                <c:ptCount val="0"/>
              </c:strCache>
            </c:strRef>
          </c:cat>
          <c:val>
            <c:numRef>
              <c:f>'Budget &amp; Revenue'!$H$3:$H$14</c:f>
              <c:numCache>
                <c:formatCode>$#,##0.00</c:formatCode>
                <c:ptCount val="0"/>
              </c:numCache>
            </c:numRef>
          </c:val>
          <c:smooth val="0"/>
        </c:ser>
        <c:ser>
          <c:idx val="7"/>
          <c:order val="7"/>
          <c:tx>
            <c:v>Website Revenue</c:v>
          </c:tx>
          <c:marker/>
          <c:cat>
            <c:strRef>
              <c:f>'Budget &amp; Revenue'!$A$3:$A$14</c:f>
              <c:strCache>
                <c:ptCount val="0"/>
              </c:strCache>
            </c:strRef>
          </c:cat>
          <c:val>
            <c:numRef>
              <c:f>'Budget &amp; Revenue'!$I$3:$I$14</c:f>
              <c:numCache>
                <c:formatCode>$#,##0.00</c:formatCode>
                <c:ptCount val="0"/>
              </c:numCache>
            </c:numRef>
          </c:val>
          <c:smooth val="0"/>
        </c:ser>
        <c:ser>
          <c:idx val="8"/>
          <c:order val="8"/>
          <c:tx>
            <c:v>Etsy Revenue</c:v>
          </c:tx>
          <c:marker/>
          <c:cat>
            <c:strRef>
              <c:f>'Budget &amp; Revenue'!$A$3:$A$14</c:f>
              <c:strCache>
                <c:ptCount val="0"/>
              </c:strCache>
            </c:strRef>
          </c:cat>
          <c:val>
            <c:numRef>
              <c:f>'Budget &amp; Revenue'!$J$3:$J$14</c:f>
              <c:numCache>
                <c:formatCode>$#,##0.00</c:formatCode>
                <c:ptCount val="0"/>
              </c:numCache>
            </c:numRef>
          </c:val>
          <c:smooth val="0"/>
        </c:ser>
        <c:ser>
          <c:idx val="9"/>
          <c:order val="9"/>
          <c:tx>
            <c:v>Course Revenue</c:v>
          </c:tx>
          <c:marker/>
          <c:cat>
            <c:strRef>
              <c:f>'Budget &amp; Revenue'!$A$3:$A$14</c:f>
              <c:strCache>
                <c:ptCount val="0"/>
              </c:strCache>
            </c:strRef>
          </c:cat>
          <c:val>
            <c:numRef>
              <c:f>'Budget &amp; Revenue'!$K$3:$K$14</c:f>
              <c:numCache>
                <c:formatCode>$#,##0.00</c:formatCode>
                <c:ptCount val="0"/>
              </c:numCache>
            </c:numRef>
          </c:val>
          <c:smooth val="0"/>
        </c:ser>
        <c:ser>
          <c:idx val="10"/>
          <c:order val="10"/>
          <c:tx>
            <c:v>Other Revenue</c:v>
          </c:tx>
          <c:marker/>
          <c:cat>
            <c:strRef>
              <c:f>'Budget &amp; Revenue'!$A$3:$A$14</c:f>
              <c:strCache>
                <c:ptCount val="0"/>
              </c:strCache>
            </c:strRef>
          </c:cat>
          <c:val>
            <c:numRef>
              <c:f>'Budget &amp; Revenue'!$L$3:$L$14</c:f>
              <c:numCache>
                <c:formatCode>$#,##0.00</c:formatCode>
                <c:ptCount val="0"/>
              </c:numCache>
            </c:numRef>
          </c:val>
          <c:smooth val="0"/>
        </c:ser>
        <c:ser>
          <c:idx val="11"/>
          <c:order val="11"/>
          <c:tx>
            <c:v>Total Revenue</c:v>
          </c:tx>
          <c:marker/>
          <c:cat>
            <c:strRef>
              <c:f>'Budget &amp; Revenue'!$A$3:$A$14</c:f>
              <c:strCache>
                <c:ptCount val="0"/>
              </c:strCache>
            </c:strRef>
          </c:cat>
          <c:val>
            <c:numRef>
              <c:f>'Budget &amp; Revenue'!$M$3:$M$14</c:f>
              <c:numCache>
                <c:formatCode>$#,##0.00</c:formatCode>
                <c:ptCount val="0"/>
              </c:numCache>
            </c:numRef>
          </c:val>
          <c:smooth val="0"/>
        </c:ser>
        <c:ser>
          <c:idx val="12"/>
          <c:order val="12"/>
          <c:tx>
            <c:v>Profit / Loss</c:v>
          </c:tx>
          <c:marker/>
          <c:cat>
            <c:strRef>
              <c:f>'Budget &amp; Revenue'!$A$3:$A$14</c:f>
              <c:strCache>
                <c:ptCount val="0"/>
              </c:strCache>
            </c:strRef>
          </c:cat>
          <c:val>
            <c:numRef>
              <c:f>'Budget &amp; Revenue'!$N$3:$N$14</c:f>
              <c:numCache>
                <c:formatCode>$#,##0.00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17</xdr:col>
      <xdr:colOff>0</xdr:colOff>
      <xdr:row>9</xdr:row>
      <xdr:rowOff>0</xdr:rowOff>
    </xdr:from>
    <xdr:to>
      <xdr:col>26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1fde4ea6f1b4a4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OverviewTable" displayName="OverviewTable" ref="A4:B10" headerRowCount="1">
  <x:tableColumns count="2">
    <x:tableColumn id="1" name="Section"/>
    <x:tableColumn id="2" name="Summary"/>
  </x:tableColumns>
  <x:tableStyleInfo name="TableStyleMedium2" showRowStripes="1"/>
</x:table>
</file>

<file path=xl/tables/table2.xml><?xml version="1.0" encoding="utf-8"?>
<x:table xmlns:x="http://schemas.openxmlformats.org/spreadsheetml/2006/main" id="2" name="MilestonesTable" displayName="MilestonesTable" ref="A13:D18" headerRowCount="1">
  <x:tableColumns count="4">
    <x:tableColumn id="1" name="Phase"/>
    <x:tableColumn id="2" name="Focus"/>
    <x:tableColumn id="3" name="Goal"/>
    <x:tableColumn id="4" name="Key Output"/>
  </x:tableColumns>
  <x:tableStyleInfo name="TableStyleMedium2" showRowStripes="1"/>
</x:table>
</file>

<file path=xl/tables/table3.xml><?xml version="1.0" encoding="utf-8"?>
<x:table xmlns:x="http://schemas.openxmlformats.org/spreadsheetml/2006/main" id="1" name="MasterPlanTable" displayName="MasterPlanTable" ref="A2:I35" headerRowCount="1">
  <x:tableColumns count="9">
    <x:tableColumn id="1" name="Phase"/>
    <x:tableColumn id="2" name="Timeline"/>
    <x:tableColumn id="3" name="Category"/>
    <x:tableColumn id="4" name="Task"/>
    <x:tableColumn id="5" name="Priority"/>
    <x:tableColumn id="6" name="Platform"/>
    <x:tableColumn id="7" name="Deliverable"/>
    <x:tableColumn id="8" name="KPI / Success Metric"/>
    <x:tableColumn id="9" name="Notes"/>
  </x:tableColumns>
  <x:tableStyleInfo name="TableStyleMedium2" showRowStripes="1"/>
</x:table>
</file>

<file path=xl/tables/table4.xml><?xml version="1.0" encoding="utf-8"?>
<x:table xmlns:x="http://schemas.openxmlformats.org/spreadsheetml/2006/main" id="1" name="Plan90Table" displayName="Plan90Table" ref="A2:G18" headerRowCount="1">
  <x:tableColumns count="7">
    <x:tableColumn id="1" name="Timeframe"/>
    <x:tableColumn id="2" name="Objective"/>
    <x:tableColumn id="3" name="Task"/>
    <x:tableColumn id="4" name="Priority"/>
    <x:tableColumn id="5" name="Owner"/>
    <x:tableColumn id="6" name="Expected Result"/>
    <x:tableColumn id="7" name="Status"/>
  </x:tableColumns>
  <x:tableStyleInfo name="TableStyleMedium2" showRowStripes="1"/>
</x:table>
</file>

<file path=xl/tables/table5.xml><?xml version="1.0" encoding="utf-8"?>
<x:table xmlns:x="http://schemas.openxmlformats.org/spreadsheetml/2006/main" id="1" name="WeeklyTable" displayName="WeeklyTable" ref="A2:D8" headerRowCount="1">
  <x:tableColumns count="4">
    <x:tableColumn id="1" name="Day"/>
    <x:tableColumn id="2" name="Focus Area"/>
    <x:tableColumn id="3" name="Main Tasks"/>
    <x:tableColumn id="4" name="Output"/>
  </x:tableColumns>
  <x:tableStyleInfo name="TableStyleMedium2" showRowStripes="1"/>
</x:table>
</file>

<file path=xl/tables/table6.xml><?xml version="1.0" encoding="utf-8"?>
<x:table xmlns:x="http://schemas.openxmlformats.org/spreadsheetml/2006/main" id="1" name="KPITable" displayName="KPITable" ref="A2:G14" headerRowCount="1">
  <x:tableColumns count="7">
    <x:tableColumn id="1" name="Area"/>
    <x:tableColumn id="2" name="KPI"/>
    <x:tableColumn id="3" name="Target Direction"/>
    <x:tableColumn id="4" name="Current Value"/>
    <x:tableColumn id="5" name="Monthly Target"/>
    <x:tableColumn id="6" name="Owner"/>
    <x:tableColumn id="7" name="Why It Matters"/>
  </x:tableColumns>
  <x:tableStyleInfo name="TableStyleMedium2" showRowStripes="1"/>
</x:table>
</file>

<file path=xl/tables/table7.xml><?xml version="1.0" encoding="utf-8"?>
<x:table xmlns:x="http://schemas.openxmlformats.org/spreadsheetml/2006/main" id="1" name="ContentPlanTable" displayName="ContentPlanTable" ref="A2:F10" headerRowCount="1">
  <x:tableColumns count="6">
    <x:tableColumn id="1" name="Platform"/>
    <x:tableColumn id="2" name="Main Purpose"/>
    <x:tableColumn id="3" name="Core Content Types"/>
    <x:tableColumn id="4" name="Posting Goal"/>
    <x:tableColumn id="5" name="Primary CTA"/>
    <x:tableColumn id="6" name="Notes"/>
  </x:tableColumns>
  <x:tableStyleInfo name="TableStyleMedium2" showRowStripes="1"/>
</x:table>
</file>

<file path=xl/tables/table8.xml><?xml version="1.0" encoding="utf-8"?>
<x:table xmlns:x="http://schemas.openxmlformats.org/spreadsheetml/2006/main" id="1" name="OfferLadderTable" displayName="OfferLadderTable" ref="A2:E7" headerRowCount="1">
  <x:tableColumns count="5">
    <x:tableColumn id="1" name="Level"/>
    <x:tableColumn id="2" name="Offer Type"/>
    <x:tableColumn id="3" name="Example"/>
    <x:tableColumn id="4" name="Purpose"/>
    <x:tableColumn id="5" name="Main Channel"/>
  </x:tableColumns>
  <x:tableStyleInfo name="TableStyleMedium2" showRowStripes="1"/>
</x:table>
</file>

<file path=xl/tables/table9.xml><?xml version="1.0" encoding="utf-8"?>
<x:table xmlns:x="http://schemas.openxmlformats.org/spreadsheetml/2006/main" id="1" name="ExecutionTrackerTable" displayName="ExecutionTrackerTable" ref="A2:R32" headerRowCount="1">
  <x:tableColumns count="18">
    <x:tableColumn id="1" name="Task ID"/>
    <x:tableColumn id="2" name="Phase"/>
    <x:tableColumn id="3" name="Month"/>
    <x:tableColumn id="4" name="Area"/>
    <x:tableColumn id="5" name="Task"/>
    <x:tableColumn id="6" name="Priority"/>
    <x:tableColumn id="7" name="Platform"/>
    <x:tableColumn id="8" name="Owner"/>
    <x:tableColumn id="9" name="Start Date"/>
    <x:tableColumn id="10" name="Due Date"/>
    <x:tableColumn id="11" name="Check"/>
    <x:tableColumn id="12" name="Status"/>
    <x:tableColumn id="13" name="Progress %"/>
    <x:tableColumn id="14" name="Deliverable"/>
    <x:tableColumn id="15" name="KPI / Success Metric"/>
    <x:tableColumn id="16" name="Notes"/>
    <x:tableColumn id="17" name="Days Left"/>
    <x:tableColumn id="18" name="Deadline Fla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4aacfb725964cf8" /><Relationship Type="http://schemas.openxmlformats.org/officeDocument/2006/relationships/table" Target="/xl/tables/table2.xml" Id="R9b9fe23c24b74ff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5617f54fb8304bf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677f8929114c48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442688297ec844e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7a6a0dc1791b4bb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3ac09372d2a741d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24dbb4b2d05e440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b1bbf45e5a9a47c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1.xml" Id="R3adf94bbc7334c32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30" hidden="0" customWidth="1"/>
    <x:col min="4" max="4" width="55" hidden="0" customWidth="1"/>
    <x:col min="6" max="6" width="18" hidden="0" customWidth="1"/>
    <x:col min="7" max="7" width="15" hidden="0" customWidth="1"/>
    <x:col min="8" max="8" width="18" hidden="0" customWidth="1"/>
  </x:cols>
  <x:sheetData>
    <x:row r="1" ht="28" customHeight="1">
      <x:c r="A1" s="18" t="str">
        <x:v>DaisyLexi Business Execution Dashboard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3" ht="24" customHeight="1">
      <x:c r="A3" s="7" t="str">
        <x:v>Business Snapshot</x:v>
      </x:c>
      <x:c r="B3" s="7" t="str">
        <x:v>Business Snapshot</x:v>
      </x:c>
      <x:c r="F3" s="56" t="str">
        <x:v>Execution Snapshot</x:v>
      </x:c>
      <x:c r="G3" s="56"/>
      <x:c r="H3" s="56"/>
    </x:row>
    <x:row r="4" ht="26" customHeight="1">
      <x:c r="A4" s="12" t="str">
        <x:v>Section</x:v>
      </x:c>
      <x:c r="B4" s="12" t="str">
        <x:v>Summary</x:v>
      </x:c>
      <x:c r="F4" s="57" t="str">
        <x:v>Metric</x:v>
      </x:c>
      <x:c r="G4" s="57" t="str">
        <x:v>Value</x:v>
      </x:c>
      <x:c r="H4" s="57" t="str">
        <x:v>Source</x:v>
      </x:c>
    </x:row>
    <x:row r="5" ht="34" customHeight="1">
      <x:c r="A5" s="15" t="str">
        <x:v>Brand Objective</x:v>
      </x:c>
      <x:c r="B5" s="15" t="str">
        <x:v>Build DaisyLexi into a digital ecosystem for planners, workbooks, trackers, finance tools, and creator education.</x:v>
      </x:c>
      <x:c r="F5" s="14" t="str">
        <x:v>Total Tasks</x:v>
      </x:c>
      <x:c r="G5" s="14" t="n">
        <x:f>ROWS('Execution Tracker'!A3:A32)</x:f>
        <x:v>30</x:v>
      </x:c>
      <x:c r="H5" t="str">
        <x:v>Execution Tracker</x:v>
      </x:c>
    </x:row>
    <x:row r="6" ht="34" customHeight="1">
      <x:c r="A6" s="15" t="str">
        <x:v>Core Business Model</x:v>
      </x:c>
      <x:c r="B6" s="15" t="str">
        <x:v>Website storefront + Etsy + social content + community + email funnel + future education offers.</x:v>
      </x:c>
      <x:c r="F6" s="14" t="str">
        <x:v>Done Tasks</x:v>
      </x:c>
      <x:c r="G6" s="14" t="n">
        <x:f>COUNTIF('Execution Tracker'!L3:L32,"Done")</x:f>
        <x:v>0</x:v>
      </x:c>
      <x:c r="H6" t="str">
        <x:v>Execution Tracker</x:v>
      </x:c>
    </x:row>
    <x:row r="7" ht="34" customHeight="1">
      <x:c r="A7" s="15" t="str">
        <x:v>Primary Markets</x:v>
      </x:c>
      <x:c r="B7" s="15" t="str">
        <x:v>Vietnamese planner users, global digital-product buyers, aspiring creator-entrepreneurs.</x:v>
      </x:c>
      <x:c r="F7" s="14" t="str">
        <x:v>In Progress</x:v>
      </x:c>
      <x:c r="G7" s="14" t="n">
        <x:f>COUNTIF('Execution Tracker'!L3:L32,"In Progress")</x:f>
        <x:v>0</x:v>
      </x:c>
      <x:c r="H7" t="str">
        <x:v>Execution Tracker</x:v>
      </x:c>
    </x:row>
    <x:row r="8" ht="34" customHeight="1">
      <x:c r="A8" s="15" t="str">
        <x:v>Priority Order</x:v>
      </x:c>
      <x:c r="B8" s="15" t="str">
        <x:v>1) Website/Etsy/Instagram/TikTok VN  2) Facebook Group/YouTube  3) TikTok US/Lemon8</x:v>
      </x:c>
      <x:c r="F8" s="14" t="str">
        <x:v>Overdue</x:v>
      </x:c>
      <x:c r="G8" s="14" t="n">
        <x:f>COUNTIF('Execution Tracker'!R3:R32,"Overdue")</x:f>
        <x:v>0</x:v>
      </x:c>
      <x:c r="H8" t="str">
        <x:v>Execution Tracker</x:v>
      </x:c>
    </x:row>
    <x:row r="9" ht="34" customHeight="1">
      <x:c r="A9" s="15" t="str">
        <x:v>Main Revenue Streams</x:v>
      </x:c>
      <x:c r="B9" s="15" t="str">
        <x:v>Digital product sales, bundles, seasonal collections, workshops/courses, memberships, affiliate income.</x:v>
      </x:c>
      <x:c r="F9" s="14" t="str">
        <x:v>Total Revenue</x:v>
      </x:c>
      <x:c r="G9" s="53" t="n">
        <x:f>'Budget &amp; Revenue'!S4</x:f>
        <x:v>0</x:v>
      </x:c>
      <x:c r="H9" t="str">
        <x:v>Budget &amp; Revenue</x:v>
      </x:c>
    </x:row>
    <x:row r="10" ht="34" customHeight="1">
      <x:c r="A10" s="15" t="str">
        <x:v>Operating Rule</x:v>
      </x:c>
      <x:c r="B10" s="15" t="str">
        <x:v>Build the store first, validate products second, scale content third, launch education offers fourth.</x:v>
      </x:c>
      <x:c r="F10" s="14" t="str">
        <x:v>Total Profit / Loss</x:v>
      </x:c>
      <x:c r="G10" s="53" t="n">
        <x:f>'Budget &amp; Revenue'!S5</x:f>
        <x:v>0</x:v>
      </x:c>
      <x:c r="H10" t="str">
        <x:v>Budget &amp; Revenue</x:v>
      </x:c>
    </x:row>
    <x:row r="11">
      <x:c r="G11" s="51"/>
    </x:row>
    <x:row r="12" ht="24" customHeight="1">
      <x:c r="A12" s="7" t="str">
        <x:v>12-Month Milestones</x:v>
      </x:c>
      <x:c r="B12" s="7" t="str">
        <x:v>12-Month Milestones</x:v>
      </x:c>
      <x:c r="C12" s="7" t="str">
        <x:v>12-Month Milestones</x:v>
      </x:c>
      <x:c r="D12" s="7" t="str">
        <x:v>12-Month Milestones</x:v>
      </x:c>
    </x:row>
    <x:row r="13" ht="26" customHeight="1">
      <x:c r="A13" s="12" t="str">
        <x:v>Phase</x:v>
      </x:c>
      <x:c r="B13" s="12" t="str">
        <x:v>Focus</x:v>
      </x:c>
      <x:c r="C13" s="12" t="str">
        <x:v>Goal</x:v>
      </x:c>
      <x:c r="D13" s="12" t="str">
        <x:v>Key Output</x:v>
      </x:c>
    </x:row>
    <x:row r="14" ht="34" customHeight="1">
      <x:c r="A14" s="15" t="str">
        <x:v>Month 1-2</x:v>
      </x:c>
      <x:c r="B14" s="15" t="str">
        <x:v>Foundation</x:v>
      </x:c>
      <x:c r="C14" s="15" t="str">
        <x:v>Brand guide, 10-15 products, live website, Etsy setup, lead magnet, welcome email flow</x:v>
      </x:c>
      <x:c r="D14" s="15"/>
    </x:row>
    <x:row r="15" ht="34" customHeight="1">
      <x:c r="A15" s="15" t="str">
        <x:v>Month 3-4</x:v>
      </x:c>
      <x:c r="B15" s="15" t="str">
        <x:v>Soft Launch</x:v>
      </x:c>
      <x:c r="C15" s="15" t="str">
        <x:v>Launch first collection, starter bundle, content cadence, Facebook Group, first sales</x:v>
      </x:c>
      <x:c r="D15" s="15"/>
    </x:row>
    <x:row r="16" ht="34" customHeight="1">
      <x:c r="A16" s="15" t="str">
        <x:v>Month 5-6</x:v>
      </x:c>
      <x:c r="B16" s="15" t="str">
        <x:v>Growth</x:v>
      </x:c>
      <x:c r="C16" s="15" t="str">
        <x:v>Identify best-sellers, expand winning categories, start YouTube, test TikTok US</x:v>
      </x:c>
      <x:c r="D16" s="15"/>
    </x:row>
    <x:row r="17" ht="34" customHeight="1">
      <x:c r="A17" s="15" t="str">
        <x:v>Month 7-9</x:v>
      </x:c>
      <x:c r="B17" s="15" t="str">
        <x:v>Systemization</x:v>
      </x:c>
      <x:c r="C17" s="15" t="str">
        <x:v>Offer ladder, first education product, stronger email automation, SOPs</x:v>
      </x:c>
      <x:c r="D17" s="15"/>
    </x:row>
    <x:row r="18" ht="34" customHeight="1">
      <x:c r="A18" s="15" t="str">
        <x:v>Month 10-12</x:v>
      </x:c>
      <x:c r="B18" s="15" t="str">
        <x:v>Authority</x:v>
      </x:c>
      <x:c r="C18" s="15" t="str">
        <x:v>Flagship collection, testimonials, community monetization, scale systems</x:v>
      </x:c>
      <x:c r="D18" s="15"/>
    </x:row>
  </x:sheetData>
  <x:mergeCells>
    <x:mergeCell ref="A1:G1"/>
    <x:mergeCell ref="A3:B3"/>
    <x:mergeCell ref="A12:D12"/>
    <x:mergeCell ref="F3:H3"/>
  </x:mergeCells>
  <x:pageMargins left="0.7" right="0.7" top="0.75" bottom="0.75" header="0.3" footer="0.3"/>
  <x:tableParts count="2">
    <x:tablePart xmlns:r="http://schemas.openxmlformats.org/officeDocument/2006/relationships" r:id="R34aacfb725964cf8"/>
    <x:tablePart xmlns:r="http://schemas.openxmlformats.org/officeDocument/2006/relationships" r:id="R9b9fe23c24b74ff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40" hidden="0" customWidth="1"/>
    <x:col min="5" max="5" width="10" hidden="0" customWidth="1"/>
    <x:col min="6" max="6" width="22" hidden="0" customWidth="1"/>
    <x:col min="7" max="7" width="24" hidden="0" customWidth="1"/>
    <x:col min="8" max="8" width="22" hidden="0" customWidth="1"/>
    <x:col min="9" max="9" width="24" hidden="0" customWidth="1"/>
  </x:cols>
  <x:sheetData>
    <x:row r="1" ht="24" customHeight="1">
      <x:c r="A1" s="19" t="str">
        <x:v>DaisyLexi 12-Month Action Plan</x:v>
      </x:c>
      <x:c r="B1" s="19" t="str">
        <x:v>DaisyLexi 12-Month Action Plan</x:v>
      </x:c>
      <x:c r="C1" s="19" t="str">
        <x:v>DaisyLexi 12-Month Action Plan</x:v>
      </x:c>
      <x:c r="D1" s="19" t="str">
        <x:v>DaisyLexi 12-Month Action Plan</x:v>
      </x:c>
      <x:c r="E1" s="19" t="str">
        <x:v>DaisyLexi 12-Month Action Plan</x:v>
      </x:c>
      <x:c r="F1" s="19" t="str">
        <x:v>DaisyLexi 12-Month Action Plan</x:v>
      </x:c>
      <x:c r="G1" s="19" t="str">
        <x:v>DaisyLexi 12-Month Action Plan</x:v>
      </x:c>
      <x:c r="H1" s="19" t="str">
        <x:v>DaisyLexi 12-Month Action Plan</x:v>
      </x:c>
      <x:c r="I1" s="19" t="str">
        <x:v>DaisyLexi 12-Month Action Plan</x:v>
      </x:c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 ht="26" customHeight="1">
      <x:c r="A2" s="12" t="str">
        <x:v>Phase</x:v>
      </x:c>
      <x:c r="B2" s="12" t="str">
        <x:v>Timeline</x:v>
      </x:c>
      <x:c r="C2" s="12" t="str">
        <x:v>Category</x:v>
      </x:c>
      <x:c r="D2" s="12" t="str">
        <x:v>Task</x:v>
      </x:c>
      <x:c r="E2" s="12" t="str">
        <x:v>Priority</x:v>
      </x:c>
      <x:c r="F2" s="12" t="str">
        <x:v>Platform</x:v>
      </x:c>
      <x:c r="G2" s="12" t="str">
        <x:v>Deliverable</x:v>
      </x:c>
      <x:c r="H2" s="12" t="str">
        <x:v>KPI / Success Metric</x:v>
      </x:c>
      <x:c r="I2" s="12" t="str">
        <x:v>Notes</x:v>
      </x:c>
    </x:row>
    <x:row r="3" ht="34" customHeight="1">
      <x:c r="A3" s="15" t="str">
        <x:v>Foundation</x:v>
      </x:c>
      <x:c r="B3" s="15" t="str">
        <x:v>Month 1</x:v>
      </x:c>
      <x:c r="C3" s="15" t="str">
        <x:v>Brand</x:v>
      </x:c>
      <x:c r="D3" s="15" t="str">
        <x:v>Define mission, positioning, target audience, and core promise</x:v>
      </x:c>
      <x:c r="E3" s="15" t="str">
        <x:v>High</x:v>
      </x:c>
      <x:c r="F3" s="15" t="str">
        <x:v>Internal</x:v>
      </x:c>
      <x:c r="G3" s="15" t="str">
        <x:v>Brand statement + positioning document</x:v>
      </x:c>
      <x:c r="H3" s="15" t="str">
        <x:v>Brand clarity completed</x:v>
      </x:c>
      <x:c r="I3" s="15" t="str">
        <x:v>This becomes the base for all messaging</x:v>
      </x:c>
    </x:row>
    <x:row r="4" ht="34" customHeight="1">
      <x:c r="A4" s="15" t="str">
        <x:v>Foundation</x:v>
      </x:c>
      <x:c r="B4" s="15" t="str">
        <x:v>Month 1</x:v>
      </x:c>
      <x:c r="C4" s="15" t="str">
        <x:v>Brand</x:v>
      </x:c>
      <x:c r="D4" s="15" t="str">
        <x:v>Create mini brand guide: logo usage, fonts, colors, thumbnail style, mockup style</x:v>
      </x:c>
      <x:c r="E4" s="15" t="str">
        <x:v>High</x:v>
      </x:c>
      <x:c r="F4" s="15" t="str">
        <x:v>Internal</x:v>
      </x:c>
      <x:c r="G4" s="15" t="str">
        <x:v>Mini brand guide</x:v>
      </x:c>
      <x:c r="H4" s="15" t="str">
        <x:v>Consistent visual identity</x:v>
      </x:c>
      <x:c r="I4" s="15" t="str">
        <x:v>Keep it simple and repeatable</x:v>
      </x:c>
    </x:row>
    <x:row r="5" ht="34" customHeight="1">
      <x:c r="A5" s="15" t="str">
        <x:v>Foundation</x:v>
      </x:c>
      <x:c r="B5" s="15" t="str">
        <x:v>Month 1-2</x:v>
      </x:c>
      <x:c r="C5" s="15" t="str">
        <x:v>Product</x:v>
      </x:c>
      <x:c r="D5" s="15" t="str">
        <x:v>Create first 10-15 digital products across planning, finance, and niche use cases</x:v>
      </x:c>
      <x:c r="E5" s="15" t="str">
        <x:v>High</x:v>
      </x:c>
      <x:c r="F5" s="15" t="str">
        <x:v>Website, Etsy</x:v>
      </x:c>
      <x:c r="G5" s="15" t="str">
        <x:v>Initial product catalog</x:v>
      </x:c>
      <x:c r="H5" s="15" t="str">
        <x:v>10-15 products ready</x:v>
      </x:c>
      <x:c r="I5" s="15" t="str">
        <x:v>Start with strongest demand categories</x:v>
      </x:c>
    </x:row>
    <x:row r="6" ht="34" customHeight="1">
      <x:c r="A6" s="15" t="str">
        <x:v>Foundation</x:v>
      </x:c>
      <x:c r="B6" s="15" t="str">
        <x:v>Month 1-2</x:v>
      </x:c>
      <x:c r="C6" s="15" t="str">
        <x:v>Product</x:v>
      </x:c>
      <x:c r="D6" s="15" t="str">
        <x:v>Prepare mockups, thumbnails, delivery files, and quick-start instruction PDF</x:v>
      </x:c>
      <x:c r="E6" s="15" t="str">
        <x:v>High</x:v>
      </x:c>
      <x:c r="F6" s="15" t="str">
        <x:v>Website, Etsy</x:v>
      </x:c>
      <x:c r="G6" s="15" t="str">
        <x:v>Listing asset pack</x:v>
      </x:c>
      <x:c r="H6" s="15" t="str">
        <x:v>All launch products have complete assets</x:v>
      </x:c>
      <x:c r="I6" s="15" t="str">
        <x:v>Important for conversion and support</x:v>
      </x:c>
    </x:row>
    <x:row r="7" ht="34" customHeight="1">
      <x:c r="A7" s="15" t="str">
        <x:v>Foundation</x:v>
      </x:c>
      <x:c r="B7" s="15" t="str">
        <x:v>Month 1-2</x:v>
      </x:c>
      <x:c r="C7" s="15" t="str">
        <x:v>Website</x:v>
      </x:c>
      <x:c r="D7" s="15" t="str">
        <x:v>Build home, shop, category pages, About, FAQ, contact, and legal pages</x:v>
      </x:c>
      <x:c r="E7" s="15" t="str">
        <x:v>High</x:v>
      </x:c>
      <x:c r="F7" s="15" t="str">
        <x:v>Website</x:v>
      </x:c>
      <x:c r="G7" s="15" t="str">
        <x:v>Live storefront</x:v>
      </x:c>
      <x:c r="H7" s="15" t="str">
        <x:v>Website is live and navigable</x:v>
      </x:c>
      <x:c r="I7" s="15" t="str">
        <x:v>Keep categories clear</x:v>
      </x:c>
    </x:row>
    <x:row r="8" ht="34" customHeight="1">
      <x:c r="A8" s="15" t="str">
        <x:v>Foundation</x:v>
      </x:c>
      <x:c r="B8" s="15" t="str">
        <x:v>Month 1-2</x:v>
      </x:c>
      <x:c r="C8" s="15" t="str">
        <x:v>Payments</x:v>
      </x:c>
      <x:c r="D8" s="15" t="str">
        <x:v>Set up VND checkout and international payment methods and test end-to-end checkout</x:v>
      </x:c>
      <x:c r="E8" s="15" t="str">
        <x:v>High</x:v>
      </x:c>
      <x:c r="F8" s="15" t="str">
        <x:v>Website</x:v>
      </x:c>
      <x:c r="G8" s="15" t="str">
        <x:v>Working checkout flow</x:v>
      </x:c>
      <x:c r="H8" s="15" t="str">
        <x:v>Successful test purchase</x:v>
      </x:c>
      <x:c r="I8" s="15" t="str">
        <x:v>Test on mobile too</x:v>
      </x:c>
    </x:row>
    <x:row r="9" ht="34" customHeight="1">
      <x:c r="A9" s="15" t="str">
        <x:v>Foundation</x:v>
      </x:c>
      <x:c r="B9" s="15" t="str">
        <x:v>Month 2</x:v>
      </x:c>
      <x:c r="C9" s="15" t="str">
        <x:v>Etsy</x:v>
      </x:c>
      <x:c r="D9" s="15" t="str">
        <x:v>Open Etsy shop, set branding, and publish first 8-12 listings</x:v>
      </x:c>
      <x:c r="E9" s="15" t="str">
        <x:v>High</x:v>
      </x:c>
      <x:c r="F9" s="15" t="str">
        <x:v>Etsy</x:v>
      </x:c>
      <x:c r="G9" s="15" t="str">
        <x:v>Live Etsy shop</x:v>
      </x:c>
      <x:c r="H9" s="15" t="str">
        <x:v>8-12 listings live</x:v>
      </x:c>
      <x:c r="I9" s="15" t="str">
        <x:v>Focus on searchable products</x:v>
      </x:c>
    </x:row>
    <x:row r="10" ht="34" customHeight="1">
      <x:c r="A10" s="15" t="str">
        <x:v>Foundation</x:v>
      </x:c>
      <x:c r="B10" s="15" t="str">
        <x:v>Month 2</x:v>
      </x:c>
      <x:c r="C10" s="15" t="str">
        <x:v>Email</x:v>
      </x:c>
      <x:c r="D10" s="15" t="str">
        <x:v>Create lead magnet and 3-5 email welcome sequence</x:v>
      </x:c>
      <x:c r="E10" s="15" t="str">
        <x:v>High</x:v>
      </x:c>
      <x:c r="F10" s="15" t="str">
        <x:v>Website, Email</x:v>
      </x:c>
      <x:c r="G10" s="15" t="str">
        <x:v>Lead magnet funnel</x:v>
      </x:c>
      <x:c r="H10" s="15" t="str">
        <x:v>First subscriber growth</x:v>
      </x:c>
      <x:c r="I10" s="15" t="str">
        <x:v>Use planner and creator angles later</x:v>
      </x:c>
    </x:row>
    <x:row r="11" ht="34" customHeight="1">
      <x:c r="A11" s="15" t="str">
        <x:v>Foundation</x:v>
      </x:c>
      <x:c r="B11" s="15" t="str">
        <x:v>Month 2</x:v>
      </x:c>
      <x:c r="C11" s="15" t="str">
        <x:v>Social</x:v>
      </x:c>
      <x:c r="D11" s="15" t="str">
        <x:v>Set up IG, TikTok VN, TikTok US, Lemon8, YouTube, and Facebook Group profiles</x:v>
      </x:c>
      <x:c r="E11" s="15" t="str">
        <x:v>Medium</x:v>
      </x:c>
      <x:c r="F11" s="15" t="str">
        <x:v>Social</x:v>
      </x:c>
      <x:c r="G11" s="15" t="str">
        <x:v>Branded profiles</x:v>
      </x:c>
      <x:c r="H11" s="15" t="str">
        <x:v>All core channels ready</x:v>
      </x:c>
      <x:c r="I11" s="15" t="str">
        <x:v>Heavy posting comes later</x:v>
      </x:c>
    </x:row>
    <x:row r="12" ht="34" customHeight="1">
      <x:c r="A12" s="15" t="str">
        <x:v>Soft Launch</x:v>
      </x:c>
      <x:c r="B12" s="15" t="str">
        <x:v>Month 3</x:v>
      </x:c>
      <x:c r="C12" s="15" t="str">
        <x:v>Launch</x:v>
      </x:c>
      <x:c r="D12" s="15" t="str">
        <x:v>Launch first DaisyLexi collection and promote it across store channels</x:v>
      </x:c>
      <x:c r="E12" s="15" t="str">
        <x:v>High</x:v>
      </x:c>
      <x:c r="F12" s="15" t="str">
        <x:v>Website, Etsy</x:v>
      </x:c>
      <x:c r="G12" s="15" t="str">
        <x:v>Collection live</x:v>
      </x:c>
      <x:c r="H12" s="15" t="str">
        <x:v>First sales</x:v>
      </x:c>
      <x:c r="I12" s="15" t="str">
        <x:v>Highlight best-sellers and beginner-friendly products</x:v>
      </x:c>
    </x:row>
    <x:row r="13" ht="34" customHeight="1">
      <x:c r="A13" s="15" t="str">
        <x:v>Soft Launch</x:v>
      </x:c>
      <x:c r="B13" s="15" t="str">
        <x:v>Month 3</x:v>
      </x:c>
      <x:c r="C13" s="15" t="str">
        <x:v>Bundle</x:v>
      </x:c>
      <x:c r="D13" s="15" t="str">
        <x:v>Create a starter bundle and one finance or productivity bundle</x:v>
      </x:c>
      <x:c r="E13" s="15" t="str">
        <x:v>High</x:v>
      </x:c>
      <x:c r="F13" s="15" t="str">
        <x:v>Website, Etsy</x:v>
      </x:c>
      <x:c r="G13" s="15" t="str">
        <x:v>2 bundles live</x:v>
      </x:c>
      <x:c r="H13" s="15" t="str">
        <x:v>Bundle conversion rate</x:v>
      </x:c>
      <x:c r="I13" s="15" t="str">
        <x:v>Bundles support AOV</x:v>
      </x:c>
    </x:row>
    <x:row r="14" ht="34" customHeight="1">
      <x:c r="A14" s="15" t="str">
        <x:v>Soft Launch</x:v>
      </x:c>
      <x:c r="B14" s="15" t="str">
        <x:v>Month 3-4</x:v>
      </x:c>
      <x:c r="C14" s="15" t="str">
        <x:v>Content</x:v>
      </x:c>
      <x:c r="D14" s="15" t="str">
        <x:v>Build 30-day content calendar and post consistently on IG and TikTok VN</x:v>
      </x:c>
      <x:c r="E14" s="15" t="str">
        <x:v>High</x:v>
      </x:c>
      <x:c r="F14" s="15" t="str">
        <x:v>Instagram, TikTok VN</x:v>
      </x:c>
      <x:c r="G14" s="15" t="str">
        <x:v>30-day content plan</x:v>
      </x:c>
      <x:c r="H14" s="15" t="str">
        <x:v>Posting consistency</x:v>
      </x:c>
      <x:c r="I14" s="15" t="str">
        <x:v>Use repeatable content pillars</x:v>
      </x:c>
    </x:row>
    <x:row r="15" ht="34" customHeight="1">
      <x:c r="A15" s="15" t="str">
        <x:v>Soft Launch</x:v>
      </x:c>
      <x:c r="B15" s="15" t="str">
        <x:v>Month 3-4</x:v>
      </x:c>
      <x:c r="C15" s="15" t="str">
        <x:v>Community</x:v>
      </x:c>
      <x:c r="D15" s="15" t="str">
        <x:v>Launch Facebook Group with welcome post, rules, and recurring prompts</x:v>
      </x:c>
      <x:c r="E15" s="15" t="str">
        <x:v>Medium</x:v>
      </x:c>
      <x:c r="F15" s="15" t="str">
        <x:v>Facebook Group</x:v>
      </x:c>
      <x:c r="G15" s="15" t="str">
        <x:v>Active group setup</x:v>
      </x:c>
      <x:c r="H15" s="15" t="str">
        <x:v>Member growth and engagement</x:v>
      </x:c>
      <x:c r="I15" s="15" t="str">
        <x:v>Use challenges to build habit</x:v>
      </x:c>
    </x:row>
    <x:row r="16" ht="34" customHeight="1">
      <x:c r="A16" s="15" t="str">
        <x:v>Soft Launch</x:v>
      </x:c>
      <x:c r="B16" s="15" t="str">
        <x:v>Month 3-4</x:v>
      </x:c>
      <x:c r="C16" s="15" t="str">
        <x:v>Conversion</x:v>
      </x:c>
      <x:c r="D16" s="15" t="str">
        <x:v>Improve product pages with clearer titles, benefits, and compatibility notes</x:v>
      </x:c>
      <x:c r="E16" s="15" t="str">
        <x:v>High</x:v>
      </x:c>
      <x:c r="F16" s="15" t="str">
        <x:v>Website, Etsy</x:v>
      </x:c>
      <x:c r="G16" s="15" t="str">
        <x:v>Optimized listings</x:v>
      </x:c>
      <x:c r="H16" s="15" t="str">
        <x:v>Improved conversion rate</x:v>
      </x:c>
      <x:c r="I16" s="15" t="str">
        <x:v>Clarify what buyers receive</x:v>
      </x:c>
    </x:row>
    <x:row r="17" ht="34" customHeight="1">
      <x:c r="A17" s="15" t="str">
        <x:v>Soft Launch</x:v>
      </x:c>
      <x:c r="B17" s="15" t="str">
        <x:v>Month 4</x:v>
      </x:c>
      <x:c r="C17" s="15" t="str">
        <x:v>Email</x:v>
      </x:c>
      <x:c r="D17" s="15" t="str">
        <x:v>Run launch email campaign and best-seller recommendation sequence</x:v>
      </x:c>
      <x:c r="E17" s="15" t="str">
        <x:v>High</x:v>
      </x:c>
      <x:c r="F17" s="15" t="str">
        <x:v>Email</x:v>
      </x:c>
      <x:c r="G17" s="15" t="str">
        <x:v>Launch email flow</x:v>
      </x:c>
      <x:c r="H17" s="15" t="str">
        <x:v>Open rate, click rate, sales</x:v>
      </x:c>
      <x:c r="I17" s="15" t="str">
        <x:v>Keep CTA direct</x:v>
      </x:c>
    </x:row>
    <x:row r="18" ht="34" customHeight="1">
      <x:c r="A18" s="15" t="str">
        <x:v>Growth</x:v>
      </x:c>
      <x:c r="B18" s="15" t="str">
        <x:v>Month 5</x:v>
      </x:c>
      <x:c r="C18" s="15" t="str">
        <x:v>Analytics</x:v>
      </x:c>
      <x:c r="D18" s="15" t="str">
        <x:v>Review top viewed, top converting, and top saved products/content</x:v>
      </x:c>
      <x:c r="E18" s="15" t="str">
        <x:v>High</x:v>
      </x:c>
      <x:c r="F18" s="15" t="str">
        <x:v>All</x:v>
      </x:c>
      <x:c r="G18" s="15" t="str">
        <x:v>Best-seller report</x:v>
      </x:c>
      <x:c r="H18" s="15" t="str">
        <x:v>Top 3 winning products identified</x:v>
      </x:c>
      <x:c r="I18" s="15" t="str">
        <x:v>Use data to guide next build</x:v>
      </x:c>
    </x:row>
    <x:row r="19" ht="34" customHeight="1">
      <x:c r="A19" s="15" t="str">
        <x:v>Growth</x:v>
      </x:c>
      <x:c r="B19" s="15" t="str">
        <x:v>Month 5-6</x:v>
      </x:c>
      <x:c r="C19" s="15" t="str">
        <x:v>Product</x:v>
      </x:c>
      <x:c r="D19" s="15" t="str">
        <x:v>Expand winning category with 3-5 new related products</x:v>
      </x:c>
      <x:c r="E19" s="15" t="str">
        <x:v>High</x:v>
      </x:c>
      <x:c r="F19" s="15" t="str">
        <x:v>Website, Etsy</x:v>
      </x:c>
      <x:c r="G19" s="15" t="str">
        <x:v>Expanded product family</x:v>
      </x:c>
      <x:c r="H19" s="15" t="str">
        <x:v>Category sales growth</x:v>
      </x:c>
      <x:c r="I19" s="15" t="str">
        <x:v>Double down on proven demand</x:v>
      </x:c>
    </x:row>
    <x:row r="20" ht="34" customHeight="1">
      <x:c r="A20" s="15" t="str">
        <x:v>Growth</x:v>
      </x:c>
      <x:c r="B20" s="15" t="str">
        <x:v>Month 5-6</x:v>
      </x:c>
      <x:c r="C20" s="15" t="str">
        <x:v>SEO</x:v>
      </x:c>
      <x:c r="D20" s="15" t="str">
        <x:v>Improve Etsy titles, tags, descriptions, and thumbnails</x:v>
      </x:c>
      <x:c r="E20" s="15" t="str">
        <x:v>High</x:v>
      </x:c>
      <x:c r="F20" s="15" t="str">
        <x:v>Etsy</x:v>
      </x:c>
      <x:c r="G20" s="15" t="str">
        <x:v>SEO refresh</x:v>
      </x:c>
      <x:c r="H20" s="15" t="str">
        <x:v>Etsy visits and favorites increase</x:v>
      </x:c>
      <x:c r="I20" s="15" t="str">
        <x:v>Iterate on real search data</x:v>
      </x:c>
    </x:row>
    <x:row r="21" ht="34" customHeight="1">
      <x:c r="A21" s="15" t="str">
        <x:v>Growth</x:v>
      </x:c>
      <x:c r="B21" s="15" t="str">
        <x:v>Month 5-6</x:v>
      </x:c>
      <x:c r="C21" s="15" t="str">
        <x:v>Website</x:v>
      </x:c>
      <x:c r="D21" s="15" t="str">
        <x:v>Refine homepage, category pages, and best-seller sections</x:v>
      </x:c>
      <x:c r="E21" s="15" t="str">
        <x:v>High</x:v>
      </x:c>
      <x:c r="F21" s="15" t="str">
        <x:v>Website</x:v>
      </x:c>
      <x:c r="G21" s="15" t="str">
        <x:v>Improved site flow</x:v>
      </x:c>
      <x:c r="H21" s="15" t="str">
        <x:v>Higher conversion / lower bounce rate</x:v>
      </x:c>
      <x:c r="I21" s="15" t="str">
        <x:v>Promote winning products prominently</x:v>
      </x:c>
    </x:row>
    <x:row r="22" ht="34" customHeight="1">
      <x:c r="A22" s="15" t="str">
        <x:v>Growth</x:v>
      </x:c>
      <x:c r="B22" s="15" t="str">
        <x:v>Month 5-6</x:v>
      </x:c>
      <x:c r="C22" s="15" t="str">
        <x:v>YouTube</x:v>
      </x:c>
      <x:c r="D22" s="15" t="str">
        <x:v>Publish 1 video weekly on planning, productivity, and finance topics</x:v>
      </x:c>
      <x:c r="E22" s="15" t="str">
        <x:v>Medium</x:v>
      </x:c>
      <x:c r="F22" s="15" t="str">
        <x:v>YouTube</x:v>
      </x:c>
      <x:c r="G22" s="15" t="str">
        <x:v>Initial video library</x:v>
      </x:c>
      <x:c r="H22" s="15" t="str">
        <x:v>Views and watch time</x:v>
      </x:c>
      <x:c r="I22" s="15" t="str">
        <x:v>Use YouTube for authority</x:v>
      </x:c>
    </x:row>
    <x:row r="23" ht="34" customHeight="1">
      <x:c r="A23" s="15" t="str">
        <x:v>Growth</x:v>
      </x:c>
      <x:c r="B23" s="15" t="str">
        <x:v>Month 6</x:v>
      </x:c>
      <x:c r="C23" s="15" t="str">
        <x:v>TikTok US</x:v>
      </x:c>
      <x:c r="D23" s="15" t="str">
        <x:v>Test content on digital products, planner creation, and online income</x:v>
      </x:c>
      <x:c r="E23" s="15" t="str">
        <x:v>Medium</x:v>
      </x:c>
      <x:c r="F23" s="15" t="str">
        <x:v>TikTok US</x:v>
      </x:c>
      <x:c r="G23" s="15" t="str">
        <x:v>Starter content batch</x:v>
      </x:c>
      <x:c r="H23" s="15" t="str">
        <x:v>Watch time and profile clicks</x:v>
      </x:c>
      <x:c r="I23" s="15" t="str">
        <x:v>Build creator-facing funnel carefully</x:v>
      </x:c>
    </x:row>
    <x:row r="24" ht="34" customHeight="1">
      <x:c r="A24" s="15" t="str">
        <x:v>Growth</x:v>
      </x:c>
      <x:c r="B24" s="15" t="str">
        <x:v>Month 6</x:v>
      </x:c>
      <x:c r="C24" s="15" t="str">
        <x:v>Lead Gen</x:v>
      </x:c>
      <x:c r="D24" s="15" t="str">
        <x:v>Create creator-focused freebie for digital product audience</x:v>
      </x:c>
      <x:c r="E24" s="15" t="str">
        <x:v>Medium</x:v>
      </x:c>
      <x:c r="F24" s="15" t="str">
        <x:v>Website, Email</x:v>
      </x:c>
      <x:c r="G24" s="15" t="str">
        <x:v>New lead magnet</x:v>
      </x:c>
      <x:c r="H24" s="15" t="str">
        <x:v>Opt-in growth from creator audience</x:v>
      </x:c>
      <x:c r="I24" s="15" t="str">
        <x:v>Can later support course launch</x:v>
      </x:c>
    </x:row>
    <x:row r="25" ht="34" customHeight="1">
      <x:c r="A25" s="15" t="str">
        <x:v>Systemization</x:v>
      </x:c>
      <x:c r="B25" s="15" t="str">
        <x:v>Month 7</x:v>
      </x:c>
      <x:c r="C25" s="15" t="str">
        <x:v>Offers</x:v>
      </x:c>
      <x:c r="D25" s="15" t="str">
        <x:v>Map offer ladder from freebie to low-ticket product to bundle to course</x:v>
      </x:c>
      <x:c r="E25" s="15" t="str">
        <x:v>High</x:v>
      </x:c>
      <x:c r="F25" s="15" t="str">
        <x:v>Website, Email</x:v>
      </x:c>
      <x:c r="G25" s="15" t="str">
        <x:v>Offer ladder map</x:v>
      </x:c>
      <x:c r="H25" s="15" t="str">
        <x:v>AOV and upsell readiness</x:v>
      </x:c>
      <x:c r="I25" s="15" t="str">
        <x:v>Keep journey simple</x:v>
      </x:c>
    </x:row>
    <x:row r="26" ht="34" customHeight="1">
      <x:c r="A26" s="15" t="str">
        <x:v>Systemization</x:v>
      </x:c>
      <x:c r="B26" s="15" t="str">
        <x:v>Month 7-8</x:v>
      </x:c>
      <x:c r="C26" s="15" t="str">
        <x:v>Education</x:v>
      </x:c>
      <x:c r="D26" s="15" t="str">
        <x:v>Outline and launch first mini-course, workshop, or starter kit</x:v>
      </x:c>
      <x:c r="E26" s="15" t="str">
        <x:v>High</x:v>
      </x:c>
      <x:c r="F26" s="15" t="str">
        <x:v>Website, TikTok US</x:v>
      </x:c>
      <x:c r="G26" s="15" t="str">
        <x:v>First education offer</x:v>
      </x:c>
      <x:c r="H26" s="15" t="str">
        <x:v>Course/workshop sales</x:v>
      </x:c>
      <x:c r="I26" s="15" t="str">
        <x:v>Choose one simple launch first</x:v>
      </x:c>
    </x:row>
    <x:row r="27" ht="34" customHeight="1">
      <x:c r="A27" s="15" t="str">
        <x:v>Systemization</x:v>
      </x:c>
      <x:c r="B27" s="15" t="str">
        <x:v>Month 7-8</x:v>
      </x:c>
      <x:c r="C27" s="15" t="str">
        <x:v>Email</x:v>
      </x:c>
      <x:c r="D27" s="15" t="str">
        <x:v>Add abandoned cart, post-purchase, upsell, and review-request flows</x:v>
      </x:c>
      <x:c r="E27" s="15" t="str">
        <x:v>High</x:v>
      </x:c>
      <x:c r="F27" s="15" t="str">
        <x:v>Email</x:v>
      </x:c>
      <x:c r="G27" s="15" t="str">
        <x:v>Advanced automation</x:v>
      </x:c>
      <x:c r="H27" s="15" t="str">
        <x:v>Recovery rate + repeat sales</x:v>
      </x:c>
      <x:c r="I27" s="15" t="str">
        <x:v>Owned audience matters most</x:v>
      </x:c>
    </x:row>
    <x:row r="28" ht="34" customHeight="1">
      <x:c r="A28" s="15" t="str">
        <x:v>Systemization</x:v>
      </x:c>
      <x:c r="B28" s="15" t="str">
        <x:v>Month 8</x:v>
      </x:c>
      <x:c r="C28" s="15" t="str">
        <x:v>Operations</x:v>
      </x:c>
      <x:c r="D28" s="15" t="str">
        <x:v>Document SOPs for product creation, listings, customer support, and weekly analytics</x:v>
      </x:c>
      <x:c r="E28" s="15" t="str">
        <x:v>Medium</x:v>
      </x:c>
      <x:c r="F28" s="15" t="str">
        <x:v>Internal</x:v>
      </x:c>
      <x:c r="G28" s="15" t="str">
        <x:v>SOP folder</x:v>
      </x:c>
      <x:c r="H28" s="15" t="str">
        <x:v>Time saved / easier delegation</x:v>
      </x:c>
      <x:c r="I28" s="15" t="str">
        <x:v>Prepare for outsourcing</x:v>
      </x:c>
    </x:row>
    <x:row r="29" ht="34" customHeight="1">
      <x:c r="A29" s="15" t="str">
        <x:v>Systemization</x:v>
      </x:c>
      <x:c r="B29" s="15" t="str">
        <x:v>Month 8-9</x:v>
      </x:c>
      <x:c r="C29" s="15" t="str">
        <x:v>Upsell</x:v>
      </x:c>
      <x:c r="D29" s="15" t="str">
        <x:v>Create category-based bundles and clear cross-sell paths</x:v>
      </x:c>
      <x:c r="E29" s="15" t="str">
        <x:v>High</x:v>
      </x:c>
      <x:c r="F29" s="15" t="str">
        <x:v>Website</x:v>
      </x:c>
      <x:c r="G29" s="15" t="str">
        <x:v>Bundle structure</x:v>
      </x:c>
      <x:c r="H29" s="15" t="str">
        <x:v>Higher AOV</x:v>
      </x:c>
      <x:c r="I29" s="15" t="str">
        <x:v>Finance, student, business bundles</x:v>
      </x:c>
    </x:row>
    <x:row r="30" ht="34" customHeight="1">
      <x:c r="A30" s="15" t="str">
        <x:v>Systemization</x:v>
      </x:c>
      <x:c r="B30" s="15" t="str">
        <x:v>Month 9</x:v>
      </x:c>
      <x:c r="C30" s="15" t="str">
        <x:v>Community</x:v>
      </x:c>
      <x:c r="D30" s="15" t="str">
        <x:v>Warm audience for paid challenge, premium group, or accountability offer</x:v>
      </x:c>
      <x:c r="E30" s="15" t="str">
        <x:v>Medium</x:v>
      </x:c>
      <x:c r="F30" s="15" t="str">
        <x:v>Facebook Group, Email</x:v>
      </x:c>
      <x:c r="G30" s="15" t="str">
        <x:v>Validated premium concept</x:v>
      </x:c>
      <x:c r="H30" s="15" t="str">
        <x:v>Waitlist signups</x:v>
      </x:c>
      <x:c r="I30" s="15" t="str">
        <x:v>Do not force too early</x:v>
      </x:c>
    </x:row>
    <x:row r="31" ht="34" customHeight="1">
      <x:c r="A31" s="15" t="str">
        <x:v>Authority</x:v>
      </x:c>
      <x:c r="B31" s="15" t="str">
        <x:v>Month 10</x:v>
      </x:c>
      <x:c r="C31" s="15" t="str">
        <x:v>Launch</x:v>
      </x:c>
      <x:c r="D31" s="15" t="str">
        <x:v>Release flagship collection such as annual planner or finance transformation system</x:v>
      </x:c>
      <x:c r="E31" s="15" t="str">
        <x:v>High</x:v>
      </x:c>
      <x:c r="F31" s="15" t="str">
        <x:v>Website, Etsy</x:v>
      </x:c>
      <x:c r="G31" s="15" t="str">
        <x:v>Flagship launch</x:v>
      </x:c>
      <x:c r="H31" s="15" t="str">
        <x:v>Launch revenue</x:v>
      </x:c>
      <x:c r="I31" s="15" t="str">
        <x:v>Make it signature-level</x:v>
      </x:c>
    </x:row>
    <x:row r="32" ht="34" customHeight="1">
      <x:c r="A32" s="15" t="str">
        <x:v>Authority</x:v>
      </x:c>
      <x:c r="B32" s="15" t="str">
        <x:v>Month 10-11</x:v>
      </x:c>
      <x:c r="C32" s="15" t="str">
        <x:v>Social Proof</x:v>
      </x:c>
      <x:c r="D32" s="15" t="str">
        <x:v>Collect testimonials, buyer screenshots, and usage stories</x:v>
      </x:c>
      <x:c r="E32" s="15" t="str">
        <x:v>High</x:v>
      </x:c>
      <x:c r="F32" s="15" t="str">
        <x:v>Website, Social</x:v>
      </x:c>
      <x:c r="G32" s="15" t="str">
        <x:v>Testimonial library</x:v>
      </x:c>
      <x:c r="H32" s="15" t="str">
        <x:v>Review count and conversion lift</x:v>
      </x:c>
      <x:c r="I32" s="15" t="str">
        <x:v>Show transformation, not only files</x:v>
      </x:c>
    </x:row>
    <x:row r="33" ht="34" customHeight="1">
      <x:c r="A33" s="15" t="str">
        <x:v>Authority</x:v>
      </x:c>
      <x:c r="B33" s="15" t="str">
        <x:v>Month 11</x:v>
      </x:c>
      <x:c r="C33" s="15" t="str">
        <x:v>Monetization</x:v>
      </x:c>
      <x:c r="D33" s="15" t="str">
        <x:v>Test membership, planner club, or paid challenge</x:v>
      </x:c>
      <x:c r="E33" s="15" t="str">
        <x:v>Medium</x:v>
      </x:c>
      <x:c r="F33" s="15" t="str">
        <x:v>Website, Facebook Group</x:v>
      </x:c>
      <x:c r="G33" s="15" t="str">
        <x:v>Recurring revenue concept</x:v>
      </x:c>
      <x:c r="H33" s="15" t="str">
        <x:v>New revenue stream</x:v>
      </x:c>
      <x:c r="I33" s="15" t="str">
        <x:v>Start with simple pilot</x:v>
      </x:c>
    </x:row>
    <x:row r="34" ht="34" customHeight="1">
      <x:c r="A34" s="15" t="str">
        <x:v>Authority</x:v>
      </x:c>
      <x:c r="B34" s="15" t="str">
        <x:v>Month 10-12</x:v>
      </x:c>
      <x:c r="C34" s="15" t="str">
        <x:v>Authority</x:v>
      </x:c>
      <x:c r="D34" s="15" t="str">
        <x:v>Publish more educational evergreen content and customer case-style content</x:v>
      </x:c>
      <x:c r="E34" s="15" t="str">
        <x:v>Medium</x:v>
      </x:c>
      <x:c r="F34" s="15" t="str">
        <x:v>YouTube, Instagram</x:v>
      </x:c>
      <x:c r="G34" s="15" t="str">
        <x:v>Authority content bank</x:v>
      </x:c>
      <x:c r="H34" s="15" t="str">
        <x:v>Trust and retention</x:v>
      </x:c>
      <x:c r="I34" s="15" t="str">
        <x:v>Helps long-term brand building</x:v>
      </x:c>
    </x:row>
    <x:row r="35" ht="34" customHeight="1">
      <x:c r="A35" s="15" t="str">
        <x:v>Authority</x:v>
      </x:c>
      <x:c r="B35" s="15" t="str">
        <x:v>Month 12</x:v>
      </x:c>
      <x:c r="C35" s="15" t="str">
        <x:v>Scale</x:v>
      </x:c>
      <x:c r="D35" s="15" t="str">
        <x:v>Prepare delegation templates and outsourcing-ready workflows</x:v>
      </x:c>
      <x:c r="E35" s="15" t="str">
        <x:v>Medium</x:v>
      </x:c>
      <x:c r="F35" s="15" t="str">
        <x:v>Internal</x:v>
      </x:c>
      <x:c r="G35" s="15" t="str">
        <x:v>Delegation package</x:v>
      </x:c>
      <x:c r="H35" s="15" t="str">
        <x:v>Operational efficiency</x:v>
      </x:c>
      <x:c r="I35" s="15" t="str">
        <x:v>Free more time for growth</x:v>
      </x:c>
    </x:row>
  </x:sheetData>
  <x:mergeCells>
    <x:mergeCell ref="A1:I1"/>
  </x:mergeCells>
  <x:conditionalFormatting sqref="E3:E200">
    <x:cfRule type="expression" dxfId="3" priority="1">
      <x:formula>E3="High"</x:formula>
    </x:cfRule>
    <x:cfRule type="expression" dxfId="4" priority="2">
      <x:formula>E3="Medium"</x:formula>
    </x:cfRule>
    <x:cfRule type="expression" dxfId="5" priority="3">
      <x:formula>E3="Low"</x:formula>
    </x:cfRule>
  </x:conditionalFormatting>
  <x:dataValidations count="1">
    <x:dataValidation type="list" sqref="E3:E200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617f54fb8304bf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38" hidden="0" customWidth="1"/>
    <x:col min="4" max="4" width="10" hidden="0" customWidth="1"/>
    <x:col min="5" max="5" width="12" hidden="0" customWidth="1"/>
    <x:col min="6" max="6" width="28" hidden="0" customWidth="1"/>
    <x:col min="7" max="7" width="14" hidden="0" customWidth="1"/>
  </x:cols>
  <x:sheetData>
    <x:row r="1" ht="24" customHeight="1">
      <x:c r="A1" s="19" t="str">
        <x:v>DaisyLexi 90-Day Execution Plan</x:v>
      </x:c>
      <x:c r="B1" s="19" t="str">
        <x:v>DaisyLexi 90-Day Execution Plan</x:v>
      </x:c>
      <x:c r="C1" s="19" t="str">
        <x:v>DaisyLexi 90-Day Execution Plan</x:v>
      </x:c>
      <x:c r="D1" s="19" t="str">
        <x:v>DaisyLexi 90-Day Execution Plan</x:v>
      </x:c>
      <x:c r="E1" s="19" t="str">
        <x:v>DaisyLexi 90-Day Execution Plan</x:v>
      </x:c>
      <x:c r="F1" s="19" t="str">
        <x:v>DaisyLexi 90-Day Execution Plan</x:v>
      </x:c>
      <x:c r="G1" s="19" t="str">
        <x:v>DaisyLexi 90-Day Execution Plan</x:v>
      </x:c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 ht="26" customHeight="1">
      <x:c r="A2" s="12" t="str">
        <x:v>Timeframe</x:v>
      </x:c>
      <x:c r="B2" s="12" t="str">
        <x:v>Objective</x:v>
      </x:c>
      <x:c r="C2" s="12" t="str">
        <x:v>Task</x:v>
      </x:c>
      <x:c r="D2" s="12" t="str">
        <x:v>Priority</x:v>
      </x:c>
      <x:c r="E2" s="12" t="str">
        <x:v>Owner</x:v>
      </x:c>
      <x:c r="F2" s="12" t="str">
        <x:v>Expected Result</x:v>
      </x:c>
      <x:c r="G2" s="12" t="str">
        <x:v>Status</x:v>
      </x:c>
    </x:row>
    <x:row r="3" ht="34" customHeight="1">
      <x:c r="A3" s="15" t="str">
        <x:v>Days 1-30</x:v>
      </x:c>
      <x:c r="B3" s="15" t="str">
        <x:v>Build the foundation</x:v>
      </x:c>
      <x:c r="C3" s="15" t="str">
        <x:v>Finalize brand identity and positioning</x:v>
      </x:c>
      <x:c r="D3" s="15" t="str">
        <x:v>High</x:v>
      </x:c>
      <x:c r="E3" s="15" t="str">
        <x:v>Founder</x:v>
      </x:c>
      <x:c r="F3" s="15" t="str">
        <x:v>Clear business direction</x:v>
      </x:c>
      <x:c r="G3" s="15" t="str">
        <x:v>Not Started</x:v>
      </x:c>
    </x:row>
    <x:row r="4" ht="34" customHeight="1">
      <x:c r="A4" s="15" t="str">
        <x:v>Days 1-30</x:v>
      </x:c>
      <x:c r="B4" s="15" t="str">
        <x:v>Build the foundation</x:v>
      </x:c>
      <x:c r="C4" s="15" t="str">
        <x:v>Create first 10 core products</x:v>
      </x:c>
      <x:c r="D4" s="15" t="str">
        <x:v>High</x:v>
      </x:c>
      <x:c r="E4" s="15" t="str">
        <x:v>Founder</x:v>
      </x:c>
      <x:c r="F4" s="15" t="str">
        <x:v>Launch-ready product catalog</x:v>
      </x:c>
      <x:c r="G4" s="15" t="str">
        <x:v>Not Started</x:v>
      </x:c>
    </x:row>
    <x:row r="5" ht="34" customHeight="1">
      <x:c r="A5" s="15" t="str">
        <x:v>Days 1-30</x:v>
      </x:c>
      <x:c r="B5" s="15" t="str">
        <x:v>Build the foundation</x:v>
      </x:c>
      <x:c r="C5" s="15" t="str">
        <x:v>Build website structure and legal pages</x:v>
      </x:c>
      <x:c r="D5" s="15" t="str">
        <x:v>High</x:v>
      </x:c>
      <x:c r="E5" s="15" t="str">
        <x:v>Founder</x:v>
      </x:c>
      <x:c r="F5" s="15" t="str">
        <x:v>Live storefront shell</x:v>
      </x:c>
      <x:c r="G5" s="15" t="str">
        <x:v>Not Started</x:v>
      </x:c>
    </x:row>
    <x:row r="6" ht="34" customHeight="1">
      <x:c r="A6" s="15" t="str">
        <x:v>Days 1-30</x:v>
      </x:c>
      <x:c r="B6" s="15" t="str">
        <x:v>Build the foundation</x:v>
      </x:c>
      <x:c r="C6" s="15" t="str">
        <x:v>Set up VND + international payment and test checkout</x:v>
      </x:c>
      <x:c r="D6" s="15" t="str">
        <x:v>High</x:v>
      </x:c>
      <x:c r="E6" s="15" t="str">
        <x:v>Founder</x:v>
      </x:c>
      <x:c r="F6" s="15" t="str">
        <x:v>Working purchase flow</x:v>
      </x:c>
      <x:c r="G6" s="15" t="str">
        <x:v>Not Started</x:v>
      </x:c>
    </x:row>
    <x:row r="7" ht="34" customHeight="1">
      <x:c r="A7" s="15" t="str">
        <x:v>Days 1-30</x:v>
      </x:c>
      <x:c r="B7" s="15" t="str">
        <x:v>Build the foundation</x:v>
      </x:c>
      <x:c r="C7" s="15" t="str">
        <x:v>Open Etsy and prepare first listing assets</x:v>
      </x:c>
      <x:c r="D7" s="15" t="str">
        <x:v>High</x:v>
      </x:c>
      <x:c r="E7" s="15" t="str">
        <x:v>Founder</x:v>
      </x:c>
      <x:c r="F7" s="15" t="str">
        <x:v>Etsy ready for listings</x:v>
      </x:c>
      <x:c r="G7" s="15" t="str">
        <x:v>Not Started</x:v>
      </x:c>
    </x:row>
    <x:row r="8" ht="34" customHeight="1">
      <x:c r="A8" s="15" t="str">
        <x:v>Days 1-30</x:v>
      </x:c>
      <x:c r="B8" s="15" t="str">
        <x:v>Build the foundation</x:v>
      </x:c>
      <x:c r="C8" s="15" t="str">
        <x:v>Create lead magnet + welcome flow</x:v>
      </x:c>
      <x:c r="D8" s="15" t="str">
        <x:v>High</x:v>
      </x:c>
      <x:c r="E8" s="15" t="str">
        <x:v>Founder</x:v>
      </x:c>
      <x:c r="F8" s="15" t="str">
        <x:v>Email capture system</x:v>
      </x:c>
      <x:c r="G8" s="15" t="str">
        <x:v>Not Started</x:v>
      </x:c>
    </x:row>
    <x:row r="9" ht="34" customHeight="1">
      <x:c r="A9" s="15" t="str">
        <x:v>Days 31-60</x:v>
      </x:c>
      <x:c r="B9" s="15" t="str">
        <x:v>Launch and publish</x:v>
      </x:c>
      <x:c r="C9" s="15" t="str">
        <x:v>Upload Etsy listings and launch first collection</x:v>
      </x:c>
      <x:c r="D9" s="15" t="str">
        <x:v>High</x:v>
      </x:c>
      <x:c r="E9" s="15" t="str">
        <x:v>Founder</x:v>
      </x:c>
      <x:c r="F9" s="15" t="str">
        <x:v>First live listings + store launch</x:v>
      </x:c>
      <x:c r="G9" s="15" t="str">
        <x:v>Not Started</x:v>
      </x:c>
    </x:row>
    <x:row r="10" ht="34" customHeight="1">
      <x:c r="A10" s="15" t="str">
        <x:v>Days 31-60</x:v>
      </x:c>
      <x:c r="B10" s="15" t="str">
        <x:v>Launch and publish</x:v>
      </x:c>
      <x:c r="C10" s="15" t="str">
        <x:v>Create first starter bundle</x:v>
      </x:c>
      <x:c r="D10" s="15" t="str">
        <x:v>High</x:v>
      </x:c>
      <x:c r="E10" s="15" t="str">
        <x:v>Founder</x:v>
      </x:c>
      <x:c r="F10" s="15" t="str">
        <x:v>Bundle ready for promotion</x:v>
      </x:c>
      <x:c r="G10" s="15" t="str">
        <x:v>Not Started</x:v>
      </x:c>
    </x:row>
    <x:row r="11" ht="34" customHeight="1">
      <x:c r="A11" s="15" t="str">
        <x:v>Days 31-60</x:v>
      </x:c>
      <x:c r="B11" s="15" t="str">
        <x:v>Launch and publish</x:v>
      </x:c>
      <x:c r="C11" s="15" t="str">
        <x:v>Post consistently on Instagram and TikTok VN</x:v>
      </x:c>
      <x:c r="D11" s="15" t="str">
        <x:v>High</x:v>
      </x:c>
      <x:c r="E11" s="15" t="str">
        <x:v>Founder</x:v>
      </x:c>
      <x:c r="F11" s="15" t="str">
        <x:v>Content cadence established</x:v>
      </x:c>
      <x:c r="G11" s="15" t="str">
        <x:v>Not Started</x:v>
      </x:c>
    </x:row>
    <x:row r="12" ht="34" customHeight="1">
      <x:c r="A12" s="15" t="str">
        <x:v>Days 31-60</x:v>
      </x:c>
      <x:c r="B12" s="15" t="str">
        <x:v>Launch and publish</x:v>
      </x:c>
      <x:c r="C12" s="15" t="str">
        <x:v>Open Facebook Group and start engagement prompts</x:v>
      </x:c>
      <x:c r="D12" s="15" t="str">
        <x:v>Medium</x:v>
      </x:c>
      <x:c r="E12" s="15" t="str">
        <x:v>Founder</x:v>
      </x:c>
      <x:c r="F12" s="15" t="str">
        <x:v>Community is active</x:v>
      </x:c>
      <x:c r="G12" s="15" t="str">
        <x:v>Not Started</x:v>
      </x:c>
    </x:row>
    <x:row r="13" ht="34" customHeight="1">
      <x:c r="A13" s="15" t="str">
        <x:v>Days 31-60</x:v>
      </x:c>
      <x:c r="B13" s="15" t="str">
        <x:v>Launch and publish</x:v>
      </x:c>
      <x:c r="C13" s="15" t="str">
        <x:v>Improve listing copy and product page conversion</x:v>
      </x:c>
      <x:c r="D13" s="15" t="str">
        <x:v>High</x:v>
      </x:c>
      <x:c r="E13" s="15" t="str">
        <x:v>Founder</x:v>
      </x:c>
      <x:c r="F13" s="15" t="str">
        <x:v>Stronger conversion</x:v>
      </x:c>
      <x:c r="G13" s="15" t="str">
        <x:v>Not Started</x:v>
      </x:c>
    </x:row>
    <x:row r="14" ht="34" customHeight="1">
      <x:c r="A14" s="15" t="str">
        <x:v>Days 61-90</x:v>
      </x:c>
      <x:c r="B14" s="15" t="str">
        <x:v>Optimize and validate</x:v>
      </x:c>
      <x:c r="C14" s="15" t="str">
        <x:v>Review best-sellers and top-performing content</x:v>
      </x:c>
      <x:c r="D14" s="15" t="str">
        <x:v>High</x:v>
      </x:c>
      <x:c r="E14" s="15" t="str">
        <x:v>Founder</x:v>
      </x:c>
      <x:c r="F14" s="15" t="str">
        <x:v>Data-backed next steps</x:v>
      </x:c>
      <x:c r="G14" s="15" t="str">
        <x:v>Not Started</x:v>
      </x:c>
    </x:row>
    <x:row r="15" ht="34" customHeight="1">
      <x:c r="A15" s="15" t="str">
        <x:v>Days 61-90</x:v>
      </x:c>
      <x:c r="B15" s="15" t="str">
        <x:v>Optimize and validate</x:v>
      </x:c>
      <x:c r="C15" s="15" t="str">
        <x:v>Expand the winning category</x:v>
      </x:c>
      <x:c r="D15" s="15" t="str">
        <x:v>High</x:v>
      </x:c>
      <x:c r="E15" s="15" t="str">
        <x:v>Founder</x:v>
      </x:c>
      <x:c r="F15" s="15" t="str">
        <x:v>New proven products</x:v>
      </x:c>
      <x:c r="G15" s="15" t="str">
        <x:v>Not Started</x:v>
      </x:c>
    </x:row>
    <x:row r="16" ht="34" customHeight="1">
      <x:c r="A16" s="15" t="str">
        <x:v>Days 61-90</x:v>
      </x:c>
      <x:c r="B16" s="15" t="str">
        <x:v>Optimize and validate</x:v>
      </x:c>
      <x:c r="C16" s="15" t="str">
        <x:v>Start YouTube and outline first videos</x:v>
      </x:c>
      <x:c r="D16" s="15" t="str">
        <x:v>Medium</x:v>
      </x:c>
      <x:c r="E16" s="15" t="str">
        <x:v>Founder</x:v>
      </x:c>
      <x:c r="F16" s="15" t="str">
        <x:v>Authority channel begins</x:v>
      </x:c>
      <x:c r="G16" s="15" t="str">
        <x:v>Not Started</x:v>
      </x:c>
    </x:row>
    <x:row r="17" ht="34" customHeight="1">
      <x:c r="A17" s="15" t="str">
        <x:v>Days 61-90</x:v>
      </x:c>
      <x:c r="B17" s="15" t="str">
        <x:v>Optimize and validate</x:v>
      </x:c>
      <x:c r="C17" s="15" t="str">
        <x:v>Test TikTok US content direction</x:v>
      </x:c>
      <x:c r="D17" s="15" t="str">
        <x:v>Medium</x:v>
      </x:c>
      <x:c r="E17" s="15" t="str">
        <x:v>Founder</x:v>
      </x:c>
      <x:c r="F17" s="15" t="str">
        <x:v>Initial creator-facing traction</x:v>
      </x:c>
      <x:c r="G17" s="15" t="str">
        <x:v>Not Started</x:v>
      </x:c>
    </x:row>
    <x:row r="18" ht="34" customHeight="1">
      <x:c r="A18" s="15" t="str">
        <x:v>Days 61-90</x:v>
      </x:c>
      <x:c r="B18" s="15" t="str">
        <x:v>Optimize and validate</x:v>
      </x:c>
      <x:c r="C18" s="15" t="str">
        <x:v>Outline first education offer idea</x:v>
      </x:c>
      <x:c r="D18" s="15" t="str">
        <x:v>Medium</x:v>
      </x:c>
      <x:c r="E18" s="15" t="str">
        <x:v>Founder</x:v>
      </x:c>
      <x:c r="F18" s="15" t="str">
        <x:v>Monetization roadmap</x:v>
      </x:c>
      <x:c r="G18" s="15" t="str">
        <x:v>Not Started</x:v>
      </x:c>
    </x:row>
  </x:sheetData>
  <x:mergeCells>
    <x:mergeCell ref="A1:G1"/>
  </x:mergeCells>
  <x:conditionalFormatting sqref="G3:G100">
    <x:cfRule type="expression" dxfId="0" priority="1">
      <x:formula>G3="Done"</x:formula>
    </x:cfRule>
    <x:cfRule type="expression" dxfId="1" priority="2">
      <x:formula>G3="In Progress"</x:formula>
    </x:cfRule>
    <x:cfRule type="expression" dxfId="2" priority="3">
      <x:formula>G3="Blocked"</x:formula>
    </x:cfRule>
  </x:conditionalFormatting>
  <x:dataValidations count="2">
    <x:dataValidation type="list" sqref="G3:G100">
      <x:formula1>"Not Started,In Progress,Done,Blocked"</x:formula1>
    </x:dataValidation>
    <x:dataValidation type="list" sqref="D3:D100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77f8929114c481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55" hidden="0" customWidth="1"/>
    <x:col min="4" max="4" width="24" hidden="0" customWidth="1"/>
  </x:cols>
  <x:sheetData>
    <x:row r="1" ht="24" customHeight="1">
      <x:c r="A1" s="19" t="str">
        <x:v>Weekly Operating System</x:v>
      </x:c>
      <x:c r="B1" s="19" t="str">
        <x:v>Weekly Operating System</x:v>
      </x:c>
      <x:c r="C1" s="19" t="str">
        <x:v>Weekly Operating System</x:v>
      </x:c>
      <x:c r="D1" s="19" t="str">
        <x:v>Weekly Operating System</x:v>
      </x:c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 ht="26" customHeight="1">
      <x:c r="A2" s="12" t="str">
        <x:v>Day</x:v>
      </x:c>
      <x:c r="B2" s="12" t="str">
        <x:v>Focus Area</x:v>
      </x:c>
      <x:c r="C2" s="12" t="str">
        <x:v>Main Tasks</x:v>
      </x:c>
      <x:c r="D2" s="12" t="str">
        <x:v>Output</x:v>
      </x:c>
    </x:row>
    <x:row r="3" ht="34" customHeight="1">
      <x:c r="A3" s="15" t="str">
        <x:v>Monday</x:v>
      </x:c>
      <x:c r="B3" s="15" t="str">
        <x:v>Planning and review</x:v>
      </x:c>
      <x:c r="C3" s="15" t="str">
        <x:v>Review revenue, traffic, content performance, and weekly priorities</x:v>
      </x:c>
      <x:c r="D3" s="15" t="str">
        <x:v>Weekly priorities set</x:v>
      </x:c>
    </x:row>
    <x:row r="4" ht="34" customHeight="1">
      <x:c r="A4" s="15" t="str">
        <x:v>Tuesday</x:v>
      </x:c>
      <x:c r="B4" s="15" t="str">
        <x:v>Product work</x:v>
      </x:c>
      <x:c r="C4" s="15" t="str">
        <x:v>Design products, improve listings, create mockups, prepare bundles</x:v>
      </x:c>
      <x:c r="D4" s="15" t="str">
        <x:v>Product assets completed</x:v>
      </x:c>
    </x:row>
    <x:row r="5" ht="34" customHeight="1">
      <x:c r="A5" s="15" t="str">
        <x:v>Wednesday</x:v>
      </x:c>
      <x:c r="B5" s="15" t="str">
        <x:v>Content production</x:v>
      </x:c>
      <x:c r="C5" s="15" t="str">
        <x:v>Film short-form videos, design carousels, write captions, prepare stories</x:v>
      </x:c>
      <x:c r="D5" s="15" t="str">
        <x:v>Content batch ready</x:v>
      </x:c>
    </x:row>
    <x:row r="6" ht="34" customHeight="1">
      <x:c r="A6" s="15" t="str">
        <x:v>Thursday</x:v>
      </x:c>
      <x:c r="B6" s="15" t="str">
        <x:v>Publishing and optimization</x:v>
      </x:c>
      <x:c r="C6" s="15" t="str">
        <x:v>Schedule content, update Etsy, improve website pages, post in community</x:v>
      </x:c>
      <x:c r="D6" s="15" t="str">
        <x:v>Content published + pages improved</x:v>
      </x:c>
    </x:row>
    <x:row r="7" ht="34" customHeight="1">
      <x:c r="A7" s="15" t="str">
        <x:v>Friday</x:v>
      </x:c>
      <x:c r="B7" s="15" t="str">
        <x:v>Analytics and strategy</x:v>
      </x:c>
      <x:c r="C7" s="15" t="str">
        <x:v>Review top content, customer feedback, and next opportunities</x:v>
      </x:c>
      <x:c r="D7" s="15" t="str">
        <x:v>Improvement actions listed</x:v>
      </x:c>
    </x:row>
    <x:row r="8" ht="34" customHeight="1">
      <x:c r="A8" s="15" t="str">
        <x:v>Weekend</x:v>
      </x:c>
      <x:c r="B8" s="15" t="str">
        <x:v>Light planning and research</x:v>
      </x:c>
      <x:c r="C8" s="15" t="str">
        <x:v>Research trends, brainstorm new products, outline long-form content</x:v>
      </x:c>
      <x:c r="D8" s="15" t="str">
        <x:v>Ideas and next-week prep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442688297ec844e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8" hidden="0" customWidth="1"/>
    <x:col min="4" max="4" width="16" hidden="0" customWidth="1"/>
    <x:col min="5" max="5" width="16" hidden="0" customWidth="1"/>
    <x:col min="6" max="6" width="12" hidden="0" customWidth="1"/>
    <x:col min="7" max="7" width="34" hidden="0" customWidth="1"/>
  </x:cols>
  <x:sheetData>
    <x:row r="1" ht="24" customHeight="1">
      <x:c r="A1" s="19" t="str">
        <x:v>KPI Dashboard Tracker</x:v>
      </x:c>
      <x:c r="B1" s="19" t="str">
        <x:v>KPI Dashboard Tracker</x:v>
      </x:c>
      <x:c r="C1" s="19" t="str">
        <x:v>KPI Dashboard Tracker</x:v>
      </x:c>
      <x:c r="D1" s="19" t="str">
        <x:v>KPI Dashboard Tracker</x:v>
      </x:c>
      <x:c r="E1" s="19" t="str">
        <x:v>KPI Dashboard Tracker</x:v>
      </x:c>
      <x:c r="F1" s="19" t="str">
        <x:v>KPI Dashboard Tracker</x:v>
      </x:c>
      <x:c r="G1" s="19" t="str">
        <x:v>KPI Dashboard Tracker</x:v>
      </x:c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 ht="26" customHeight="1">
      <x:c r="A2" s="12" t="str">
        <x:v>Area</x:v>
      </x:c>
      <x:c r="B2" s="12" t="str">
        <x:v>KPI</x:v>
      </x:c>
      <x:c r="C2" s="12" t="str">
        <x:v>Target Direction</x:v>
      </x:c>
      <x:c r="D2" s="12" t="str">
        <x:v>Current Value</x:v>
      </x:c>
      <x:c r="E2" s="12" t="str">
        <x:v>Monthly Target</x:v>
      </x:c>
      <x:c r="F2" s="12" t="str">
        <x:v>Owner</x:v>
      </x:c>
      <x:c r="G2" s="12" t="str">
        <x:v>Why It Matters</x:v>
      </x:c>
    </x:row>
    <x:row r="3" ht="34" customHeight="1">
      <x:c r="A3" s="15" t="str">
        <x:v>Revenue</x:v>
      </x:c>
      <x:c r="B3" s="15" t="str">
        <x:v>Total monthly revenue</x:v>
      </x:c>
      <x:c r="C3" s="15" t="str">
        <x:v>Increase</x:v>
      </x:c>
      <x:c r="D3" s="16" t="str"/>
      <x:c r="E3" s="16" t="str"/>
      <x:c r="F3" s="15" t="str">
        <x:v>Founder</x:v>
      </x:c>
      <x:c r="G3" s="15" t="str">
        <x:v>Core business growth</x:v>
      </x:c>
    </x:row>
    <x:row r="4" ht="34" customHeight="1">
      <x:c r="A4" s="15" t="str">
        <x:v>Revenue</x:v>
      </x:c>
      <x:c r="B4" s="15" t="str">
        <x:v>Revenue by channel</x:v>
      </x:c>
      <x:c r="C4" s="15" t="str">
        <x:v>Diversify</x:v>
      </x:c>
      <x:c r="D4" s="16" t="str"/>
      <x:c r="E4" s="16" t="str"/>
      <x:c r="F4" s="15" t="str">
        <x:v>Founder</x:v>
      </x:c>
      <x:c r="G4" s="15" t="str">
        <x:v>Reduces dependence on one platform</x:v>
      </x:c>
    </x:row>
    <x:row r="5" ht="34" customHeight="1">
      <x:c r="A5" s="15" t="str">
        <x:v>Sales</x:v>
      </x:c>
      <x:c r="B5" s="15" t="str">
        <x:v>Conversion rate</x:v>
      </x:c>
      <x:c r="C5" s="15" t="str">
        <x:v>Increase</x:v>
      </x:c>
      <x:c r="D5" s="16" t="str"/>
      <x:c r="E5" s="16" t="str"/>
      <x:c r="F5" s="15" t="str">
        <x:v>Founder</x:v>
      </x:c>
      <x:c r="G5" s="15" t="str">
        <x:v>Better use of traffic</x:v>
      </x:c>
    </x:row>
    <x:row r="6" ht="34" customHeight="1">
      <x:c r="A6" s="15" t="str">
        <x:v>Sales</x:v>
      </x:c>
      <x:c r="B6" s="15" t="str">
        <x:v>Average order value</x:v>
      </x:c>
      <x:c r="C6" s="15" t="str">
        <x:v>Increase</x:v>
      </x:c>
      <x:c r="D6" s="16" t="str"/>
      <x:c r="E6" s="16" t="str"/>
      <x:c r="F6" s="15" t="str">
        <x:v>Founder</x:v>
      </x:c>
      <x:c r="G6" s="15" t="str">
        <x:v>More revenue per customer</x:v>
      </x:c>
    </x:row>
    <x:row r="7" ht="34" customHeight="1">
      <x:c r="A7" s="15" t="str">
        <x:v>Product</x:v>
      </x:c>
      <x:c r="B7" s="15" t="str">
        <x:v>Best-selling product</x:v>
      </x:c>
      <x:c r="C7" s="15" t="str">
        <x:v>Identify clearly</x:v>
      </x:c>
      <x:c r="D7" s="16" t="str"/>
      <x:c r="E7" s="16" t="str"/>
      <x:c r="F7" s="15" t="str">
        <x:v>Founder</x:v>
      </x:c>
      <x:c r="G7" s="15" t="str">
        <x:v>Guides product expansion</x:v>
      </x:c>
    </x:row>
    <x:row r="8" ht="34" customHeight="1">
      <x:c r="A8" s="15" t="str">
        <x:v>Product</x:v>
      </x:c>
      <x:c r="B8" s="15" t="str">
        <x:v>Bundle sales</x:v>
      </x:c>
      <x:c r="C8" s="15" t="str">
        <x:v>Increase</x:v>
      </x:c>
      <x:c r="D8" s="16" t="str"/>
      <x:c r="E8" s="16" t="str"/>
      <x:c r="F8" s="15" t="str">
        <x:v>Founder</x:v>
      </x:c>
      <x:c r="G8" s="15" t="str">
        <x:v>Supports scaling</x:v>
      </x:c>
    </x:row>
    <x:row r="9" ht="34" customHeight="1">
      <x:c r="A9" s="15" t="str">
        <x:v>Audience</x:v>
      </x:c>
      <x:c r="B9" s="15" t="str">
        <x:v>Email subscribers</x:v>
      </x:c>
      <x:c r="C9" s="15" t="str">
        <x:v>Grow steadily</x:v>
      </x:c>
      <x:c r="D9" s="16" t="str"/>
      <x:c r="E9" s="16" t="str"/>
      <x:c r="F9" s="15" t="str">
        <x:v>Founder</x:v>
      </x:c>
      <x:c r="G9" s="15" t="str">
        <x:v>Owned audience is critical</x:v>
      </x:c>
    </x:row>
    <x:row r="10" ht="34" customHeight="1">
      <x:c r="A10" s="15" t="str">
        <x:v>Audience</x:v>
      </x:c>
      <x:c r="B10" s="15" t="str">
        <x:v>Facebook Group members</x:v>
      </x:c>
      <x:c r="C10" s="15" t="str">
        <x:v>Grow steadily</x:v>
      </x:c>
      <x:c r="D10" s="16" t="str"/>
      <x:c r="E10" s="16" t="str"/>
      <x:c r="F10" s="15" t="str">
        <x:v>Founder</x:v>
      </x:c>
      <x:c r="G10" s="15" t="str">
        <x:v>Measures community growth</x:v>
      </x:c>
    </x:row>
    <x:row r="11" ht="34" customHeight="1">
      <x:c r="A11" s="15" t="str">
        <x:v>Content</x:v>
      </x:c>
      <x:c r="B11" s="15" t="str">
        <x:v>Saves and shares</x:v>
      </x:c>
      <x:c r="C11" s="15" t="str">
        <x:v>Increase</x:v>
      </x:c>
      <x:c r="D11" s="16" t="str"/>
      <x:c r="E11" s="16" t="str"/>
      <x:c r="F11" s="15" t="str">
        <x:v>Founder</x:v>
      </x:c>
      <x:c r="G11" s="15" t="str">
        <x:v>Signals useful content</x:v>
      </x:c>
    </x:row>
    <x:row r="12" ht="34" customHeight="1">
      <x:c r="A12" s="15" t="str">
        <x:v>Content</x:v>
      </x:c>
      <x:c r="B12" s="15" t="str">
        <x:v>Profile clicks / website clicks</x:v>
      </x:c>
      <x:c r="C12" s="15" t="str">
        <x:v>Increase</x:v>
      </x:c>
      <x:c r="D12" s="16" t="str"/>
      <x:c r="E12" s="16" t="str"/>
      <x:c r="F12" s="15" t="str">
        <x:v>Founder</x:v>
      </x:c>
      <x:c r="G12" s="15" t="str">
        <x:v>Shows content is converting interest</x:v>
      </x:c>
    </x:row>
    <x:row r="13" ht="34" customHeight="1">
      <x:c r="A13" s="15" t="str">
        <x:v>Trust</x:v>
      </x:c>
      <x:c r="B13" s="15" t="str">
        <x:v>Reviews and testimonials</x:v>
      </x:c>
      <x:c r="C13" s="15" t="str">
        <x:v>Increase</x:v>
      </x:c>
      <x:c r="D13" s="16" t="str"/>
      <x:c r="E13" s="16" t="str"/>
      <x:c r="F13" s="15" t="str">
        <x:v>Founder</x:v>
      </x:c>
      <x:c r="G13" s="15" t="str">
        <x:v>Social proof improves sales</x:v>
      </x:c>
    </x:row>
    <x:row r="14" ht="34" customHeight="1">
      <x:c r="A14" s="15" t="str">
        <x:v>Retention</x:v>
      </x:c>
      <x:c r="B14" s="15" t="str">
        <x:v>Repeat purchase rate</x:v>
      </x:c>
      <x:c r="C14" s="15" t="str">
        <x:v>Increase</x:v>
      </x:c>
      <x:c r="D14" s="16" t="str"/>
      <x:c r="E14" s="16" t="str"/>
      <x:c r="F14" s="15" t="str">
        <x:v>Founder</x:v>
      </x:c>
      <x:c r="G14" s="15" t="str">
        <x:v>Signals long-term brand strength</x:v>
      </x:c>
    </x:row>
    <x:row r="15">
      <x:c r="D15" s="17"/>
      <x:c r="E15" s="17"/>
    </x:row>
    <x:row r="16">
      <x:c r="A16" s="21" t="str">
        <x:v>Tip: Enter your monthly actuals in Current Value and your target in Monthly Target to track progress over time.</x:v>
      </x:c>
      <x:c r="D16" s="17"/>
      <x:c r="E16" s="17"/>
    </x:row>
    <x:row r="17">
      <x:c r="D17" s="17"/>
      <x:c r="E17" s="17"/>
    </x:row>
    <x:row r="18">
      <x:c r="D18" s="17"/>
      <x:c r="E18" s="17"/>
    </x:row>
    <x:row r="19">
      <x:c r="D19" s="17"/>
      <x:c r="E19" s="17"/>
    </x:row>
    <x:row r="20">
      <x:c r="D20" s="17"/>
      <x:c r="E20" s="17"/>
    </x:row>
    <x:row r="21">
      <x:c r="D21" s="17"/>
      <x:c r="E21" s="17"/>
    </x:row>
    <x:row r="22">
      <x:c r="D22" s="17"/>
      <x:c r="E22" s="17"/>
    </x:row>
    <x:row r="23">
      <x:c r="D23" s="17"/>
      <x:c r="E23" s="17"/>
    </x:row>
    <x:row r="24">
      <x:c r="D24" s="17"/>
      <x:c r="E24" s="17"/>
    </x:row>
    <x:row r="25">
      <x:c r="D25" s="17"/>
      <x:c r="E25" s="17"/>
    </x:row>
    <x:row r="26">
      <x:c r="D26" s="17"/>
      <x:c r="E26" s="17"/>
    </x:row>
    <x:row r="27">
      <x:c r="D27" s="17"/>
      <x:c r="E27" s="17"/>
    </x:row>
    <x:row r="28">
      <x:c r="D28" s="17"/>
      <x:c r="E28" s="17"/>
    </x:row>
    <x:row r="29">
      <x:c r="D29" s="17"/>
      <x:c r="E29" s="17"/>
    </x:row>
    <x:row r="30">
      <x:c r="D30" s="17"/>
      <x:c r="E30" s="17"/>
    </x:row>
    <x:row r="31">
      <x:c r="D31" s="17"/>
      <x:c r="E31" s="17"/>
    </x:row>
    <x:row r="32">
      <x:c r="D32" s="17"/>
      <x:c r="E32" s="17"/>
    </x:row>
    <x:row r="33">
      <x:c r="D33" s="17"/>
      <x:c r="E33" s="17"/>
    </x:row>
    <x:row r="34">
      <x:c r="D34" s="17"/>
      <x:c r="E34" s="17"/>
    </x:row>
    <x:row r="35">
      <x:c r="D35" s="17"/>
      <x:c r="E35" s="17"/>
    </x:row>
    <x:row r="36">
      <x:c r="D36" s="17"/>
      <x:c r="E36" s="17"/>
    </x:row>
    <x:row r="37">
      <x:c r="D37" s="17"/>
      <x:c r="E37" s="17"/>
    </x:row>
    <x:row r="38">
      <x:c r="D38" s="17"/>
      <x:c r="E38" s="17"/>
    </x:row>
    <x:row r="39">
      <x:c r="D39" s="17"/>
      <x:c r="E39" s="17"/>
    </x:row>
    <x:row r="40">
      <x:c r="D40" s="17"/>
      <x:c r="E40" s="17"/>
    </x:row>
    <x:row r="41">
      <x:c r="D41" s="17"/>
      <x:c r="E41" s="17"/>
    </x:row>
    <x:row r="42">
      <x:c r="D42" s="17"/>
      <x:c r="E42" s="17"/>
    </x:row>
    <x:row r="43">
      <x:c r="D43" s="17"/>
      <x:c r="E43" s="17"/>
    </x:row>
    <x:row r="44">
      <x:c r="D44" s="17"/>
      <x:c r="E44" s="17"/>
    </x:row>
    <x:row r="45">
      <x:c r="D45" s="17"/>
      <x:c r="E45" s="17"/>
    </x:row>
    <x:row r="46">
      <x:c r="D46" s="17"/>
      <x:c r="E46" s="17"/>
    </x:row>
    <x:row r="47">
      <x:c r="D47" s="17"/>
      <x:c r="E47" s="17"/>
    </x:row>
    <x:row r="48">
      <x:c r="D48" s="17"/>
      <x:c r="E48" s="17"/>
    </x:row>
    <x:row r="49">
      <x:c r="D49" s="17"/>
      <x:c r="E49" s="17"/>
    </x:row>
    <x:row r="50">
      <x:c r="D50" s="17"/>
      <x:c r="E50" s="17"/>
    </x:row>
    <x:row r="51">
      <x:c r="D51" s="17"/>
      <x:c r="E51" s="17"/>
    </x:row>
    <x:row r="52">
      <x:c r="D52" s="17"/>
      <x:c r="E52" s="17"/>
    </x:row>
    <x:row r="53">
      <x:c r="D53" s="17"/>
      <x:c r="E53" s="17"/>
    </x:row>
    <x:row r="54">
      <x:c r="D54" s="17"/>
      <x:c r="E54" s="17"/>
    </x:row>
    <x:row r="55">
      <x:c r="D55" s="17"/>
      <x:c r="E55" s="17"/>
    </x:row>
    <x:row r="56">
      <x:c r="D56" s="17"/>
      <x:c r="E56" s="17"/>
    </x:row>
    <x:row r="57">
      <x:c r="D57" s="17"/>
      <x:c r="E57" s="17"/>
    </x:row>
    <x:row r="58">
      <x:c r="D58" s="17"/>
      <x:c r="E58" s="17"/>
    </x:row>
    <x:row r="59">
      <x:c r="D59" s="17"/>
      <x:c r="E59" s="17"/>
    </x:row>
    <x:row r="60">
      <x:c r="D60" s="17"/>
      <x:c r="E60" s="17"/>
    </x:row>
    <x:row r="61">
      <x:c r="D61" s="17"/>
      <x:c r="E61" s="17"/>
    </x:row>
    <x:row r="62">
      <x:c r="D62" s="17"/>
      <x:c r="E62" s="17"/>
    </x:row>
    <x:row r="63">
      <x:c r="D63" s="17"/>
      <x:c r="E63" s="17"/>
    </x:row>
    <x:row r="64">
      <x:c r="D64" s="17"/>
      <x:c r="E64" s="17"/>
    </x:row>
    <x:row r="65">
      <x:c r="D65" s="17"/>
      <x:c r="E65" s="17"/>
    </x:row>
    <x:row r="66">
      <x:c r="D66" s="17"/>
      <x:c r="E66" s="17"/>
    </x:row>
    <x:row r="67">
      <x:c r="D67" s="17"/>
      <x:c r="E67" s="17"/>
    </x:row>
    <x:row r="68">
      <x:c r="D68" s="17"/>
      <x:c r="E68" s="17"/>
    </x:row>
    <x:row r="69">
      <x:c r="D69" s="17"/>
      <x:c r="E69" s="17"/>
    </x:row>
    <x:row r="70">
      <x:c r="D70" s="17"/>
      <x:c r="E70" s="17"/>
    </x:row>
    <x:row r="71">
      <x:c r="D71" s="17"/>
      <x:c r="E71" s="17"/>
    </x:row>
    <x:row r="72">
      <x:c r="D72" s="17"/>
      <x:c r="E72" s="17"/>
    </x:row>
    <x:row r="73">
      <x:c r="D73" s="17"/>
      <x:c r="E73" s="17"/>
    </x:row>
    <x:row r="74">
      <x:c r="D74" s="17"/>
      <x:c r="E74" s="17"/>
    </x:row>
    <x:row r="75">
      <x:c r="D75" s="17"/>
      <x:c r="E75" s="17"/>
    </x:row>
    <x:row r="76">
      <x:c r="D76" s="17"/>
      <x:c r="E76" s="17"/>
    </x:row>
    <x:row r="77">
      <x:c r="D77" s="17"/>
      <x:c r="E77" s="17"/>
    </x:row>
    <x:row r="78">
      <x:c r="D78" s="17"/>
      <x:c r="E78" s="17"/>
    </x:row>
    <x:row r="79">
      <x:c r="D79" s="17"/>
      <x:c r="E79" s="17"/>
    </x:row>
    <x:row r="80">
      <x:c r="D80" s="17"/>
      <x:c r="E80" s="17"/>
    </x:row>
    <x:row r="81">
      <x:c r="D81" s="17"/>
      <x:c r="E81" s="17"/>
    </x:row>
    <x:row r="82">
      <x:c r="D82" s="17"/>
      <x:c r="E82" s="17"/>
    </x:row>
    <x:row r="83">
      <x:c r="D83" s="17"/>
      <x:c r="E83" s="17"/>
    </x:row>
    <x:row r="84">
      <x:c r="D84" s="17"/>
      <x:c r="E84" s="17"/>
    </x:row>
    <x:row r="85">
      <x:c r="D85" s="17"/>
      <x:c r="E85" s="17"/>
    </x:row>
    <x:row r="86">
      <x:c r="D86" s="17"/>
      <x:c r="E86" s="17"/>
    </x:row>
    <x:row r="87">
      <x:c r="D87" s="17"/>
      <x:c r="E87" s="17"/>
    </x:row>
    <x:row r="88">
      <x:c r="D88" s="17"/>
      <x:c r="E88" s="17"/>
    </x:row>
    <x:row r="89">
      <x:c r="D89" s="17"/>
      <x:c r="E89" s="17"/>
    </x:row>
    <x:row r="90">
      <x:c r="D90" s="17"/>
      <x:c r="E90" s="17"/>
    </x:row>
    <x:row r="91">
      <x:c r="D91" s="17"/>
      <x:c r="E91" s="17"/>
    </x:row>
    <x:row r="92">
      <x:c r="D92" s="17"/>
      <x:c r="E92" s="17"/>
    </x:row>
    <x:row r="93">
      <x:c r="D93" s="17"/>
      <x:c r="E93" s="17"/>
    </x:row>
    <x:row r="94">
      <x:c r="D94" s="17"/>
      <x:c r="E94" s="17"/>
    </x:row>
    <x:row r="95">
      <x:c r="D95" s="17"/>
      <x:c r="E95" s="17"/>
    </x:row>
    <x:row r="96">
      <x:c r="D96" s="17"/>
      <x:c r="E96" s="17"/>
    </x:row>
    <x:row r="97">
      <x:c r="D97" s="17"/>
      <x:c r="E97" s="17"/>
    </x:row>
    <x:row r="98">
      <x:c r="D98" s="17"/>
      <x:c r="E98" s="17"/>
    </x:row>
    <x:row r="99">
      <x:c r="D99" s="17"/>
      <x:c r="E99" s="17"/>
    </x:row>
    <x:row r="100">
      <x:c r="D100" s="17"/>
      <x:c r="E100" s="17"/>
    </x:row>
  </x:sheetData>
  <x:mergeCells>
    <x:mergeCell ref="A1:G1"/>
    <x:mergeCell ref="A16:G16"/>
  </x:mergeCells>
  <x:pageMargins left="0.7" right="0.7" top="0.75" bottom="0.75" header="0.3" footer="0.3"/>
  <x:tableParts count="1">
    <x:tablePart xmlns:r="http://schemas.openxmlformats.org/officeDocument/2006/relationships" r:id="R7a6a0dc1791b4bb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34" hidden="0" customWidth="1"/>
    <x:col min="4" max="4" width="18" hidden="0" customWidth="1"/>
    <x:col min="5" max="5" width="28" hidden="0" customWidth="1"/>
    <x:col min="6" max="6" width="24" hidden="0" customWidth="1"/>
  </x:cols>
  <x:sheetData>
    <x:row r="1" ht="24" customHeight="1">
      <x:c r="A1" s="19" t="str">
        <x:v>Content Plan by Platform</x:v>
      </x:c>
      <x:c r="B1" s="19" t="str">
        <x:v>Content Plan by Platform</x:v>
      </x:c>
      <x:c r="C1" s="19" t="str">
        <x:v>Content Plan by Platform</x:v>
      </x:c>
      <x:c r="D1" s="19" t="str">
        <x:v>Content Plan by Platform</x:v>
      </x:c>
      <x:c r="E1" s="19" t="str">
        <x:v>Content Plan by Platform</x:v>
      </x:c>
      <x:c r="F1" s="19" t="str">
        <x:v>Content Plan by Platform</x:v>
      </x:c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 ht="26" customHeight="1">
      <x:c r="A2" s="12" t="str">
        <x:v>Platform</x:v>
      </x:c>
      <x:c r="B2" s="12" t="str">
        <x:v>Main Purpose</x:v>
      </x:c>
      <x:c r="C2" s="12" t="str">
        <x:v>Core Content Types</x:v>
      </x:c>
      <x:c r="D2" s="12" t="str">
        <x:v>Posting Goal</x:v>
      </x:c>
      <x:c r="E2" s="12" t="str">
        <x:v>Primary CTA</x:v>
      </x:c>
      <x:c r="F2" s="12" t="str">
        <x:v>Notes</x:v>
      </x:c>
    </x:row>
    <x:row r="3" ht="34" customHeight="1">
      <x:c r="A3" s="15" t="str">
        <x:v>Website</x:v>
      </x:c>
      <x:c r="B3" s="15" t="str">
        <x:v>Sales and ownership</x:v>
      </x:c>
      <x:c r="C3" s="15" t="str">
        <x:v>Product pages, blog, freebies, tutorials</x:v>
      </x:c>
      <x:c r="D3" s="15" t="str">
        <x:v>Ongoing updates</x:v>
      </x:c>
      <x:c r="E3" s="15" t="str">
        <x:v>Buy product / join email list</x:v>
      </x:c>
      <x:c r="F3" s="15" t="str">
        <x:v>Main owned asset</x:v>
      </x:c>
    </x:row>
    <x:row r="4" ht="34" customHeight="1">
      <x:c r="A4" s="15" t="str">
        <x:v>Etsy</x:v>
      </x:c>
      <x:c r="B4" s="15" t="str">
        <x:v>Global discovery</x:v>
      </x:c>
      <x:c r="C4" s="15" t="str">
        <x:v>Search-friendly listings and listing graphics</x:v>
      </x:c>
      <x:c r="D4" s="15" t="str">
        <x:v>1 new listing every 1-2 weeks</x:v>
      </x:c>
      <x:c r="E4" s="15" t="str">
        <x:v>Purchase / favorite shop</x:v>
      </x:c>
      <x:c r="F4" s="15" t="str">
        <x:v>Use to validate demand</x:v>
      </x:c>
    </x:row>
    <x:row r="5" ht="34" customHeight="1">
      <x:c r="A5" s="15" t="str">
        <x:v>Instagram</x:v>
      </x:c>
      <x:c r="B5" s="15" t="str">
        <x:v>Brand and aesthetics</x:v>
      </x:c>
      <x:c r="C5" s="15" t="str">
        <x:v>Reels, carousels, stories, visual tips</x:v>
      </x:c>
      <x:c r="D5" s="15" t="str">
        <x:v>4-5 posts weekly</x:v>
      </x:c>
      <x:c r="E5" s="15" t="str">
        <x:v>Visit shop / save post</x:v>
      </x:c>
      <x:c r="F5" s="15" t="str">
        <x:v>Strong for social proof</x:v>
      </x:c>
    </x:row>
    <x:row r="6" ht="34" customHeight="1">
      <x:c r="A6" s="15" t="str">
        <x:v>TikTok VN</x:v>
      </x:c>
      <x:c r="B6" s="15" t="str">
        <x:v>Local education and demand</x:v>
      </x:c>
      <x:c r="C6" s="15" t="str">
        <x:v>Reviews, tutorials, use cases</x:v>
      </x:c>
      <x:c r="D6" s="15" t="str">
        <x:v>4-5 videos weekly</x:v>
      </x:c>
      <x:c r="E6" s="15" t="str">
        <x:v>Visit website / join group</x:v>
      </x:c>
      <x:c r="F6" s="15" t="str">
        <x:v>Teach planner usage clearly</x:v>
      </x:c>
    </x:row>
    <x:row r="7" ht="34" customHeight="1">
      <x:c r="A7" s="15" t="str">
        <x:v>Facebook Group</x:v>
      </x:c>
      <x:c r="B7" s="15" t="str">
        <x:v>Community and retention</x:v>
      </x:c>
      <x:c r="C7" s="15" t="str">
        <x:v>Prompts, challenges, discussion threads</x:v>
      </x:c>
      <x:c r="D7" s="15" t="str">
        <x:v>3-4 posts weekly</x:v>
      </x:c>
      <x:c r="E7" s="15" t="str">
        <x:v>Engage / join challenge</x:v>
      </x:c>
      <x:c r="F7" s="15" t="str">
        <x:v>Supports trust and habit</x:v>
      </x:c>
    </x:row>
    <x:row r="8" ht="34" customHeight="1">
      <x:c r="A8" s="15" t="str">
        <x:v>TikTok US</x:v>
      </x:c>
      <x:c r="B8" s="15" t="str">
        <x:v>Creator education</x:v>
      </x:c>
      <x:c r="C8" s="15" t="str">
        <x:v>Digital product business tips</x:v>
      </x:c>
      <x:c r="D8" s="15" t="str">
        <x:v>3-5 videos weekly</x:v>
      </x:c>
      <x:c r="E8" s="15" t="str">
        <x:v>Freebie / email opt-in / starter kit</x:v>
      </x:c>
      <x:c r="F8" s="15" t="str">
        <x:v>Supports future course offers</x:v>
      </x:c>
    </x:row>
    <x:row r="9" ht="34" customHeight="1">
      <x:c r="A9" s="15" t="str">
        <x:v>Lemon8</x:v>
      </x:c>
      <x:c r="B9" s="15" t="str">
        <x:v>Visual discoverability</x:v>
      </x:c>
      <x:c r="C9" s="15" t="str">
        <x:v>Carousel tutorials and aesthetic posts</x:v>
      </x:c>
      <x:c r="D9" s="15" t="str">
        <x:v>2-3 posts weekly</x:v>
      </x:c>
      <x:c r="E9" s="15" t="str">
        <x:v>Follow / click bio</x:v>
      </x:c>
      <x:c r="F9" s="15" t="str">
        <x:v>Good for visual planning ideas</x:v>
      </x:c>
    </x:row>
    <x:row r="10" ht="34" customHeight="1">
      <x:c r="A10" s="15" t="str">
        <x:v>YouTube</x:v>
      </x:c>
      <x:c r="B10" s="15" t="str">
        <x:v>Long-form authority</x:v>
      </x:c>
      <x:c r="C10" s="15" t="str">
        <x:v>Finance, productivity, planning videos</x:v>
      </x:c>
      <x:c r="D10" s="15" t="str">
        <x:v>1 video weekly</x:v>
      </x:c>
      <x:c r="E10" s="15" t="str">
        <x:v>Download freebie / shop planners</x:v>
      </x:c>
      <x:c r="F10" s="15" t="str">
        <x:v>Build trust over time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3ac09372d2a741d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36" hidden="0" customWidth="1"/>
    <x:col min="4" max="4" width="26" hidden="0" customWidth="1"/>
    <x:col min="5" max="5" width="28" hidden="0" customWidth="1"/>
  </x:cols>
  <x:sheetData>
    <x:row r="1" ht="24" customHeight="1">
      <x:c r="A1" s="19" t="str">
        <x:v>Offer Ladder</x:v>
      </x:c>
      <x:c r="B1" s="19" t="str">
        <x:v>Offer Ladder</x:v>
      </x:c>
      <x:c r="C1" s="19" t="str">
        <x:v>Offer Ladder</x:v>
      </x:c>
      <x:c r="D1" s="19" t="str">
        <x:v>Offer Ladder</x:v>
      </x:c>
      <x:c r="E1" s="19" t="str">
        <x:v>Offer Ladder</x:v>
      </x:c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 ht="26" customHeight="1">
      <x:c r="A2" s="12" t="str">
        <x:v>Level</x:v>
      </x:c>
      <x:c r="B2" s="12" t="str">
        <x:v>Offer Type</x:v>
      </x:c>
      <x:c r="C2" s="12" t="str">
        <x:v>Example</x:v>
      </x:c>
      <x:c r="D2" s="12" t="str">
        <x:v>Purpose</x:v>
      </x:c>
      <x:c r="E2" s="12" t="str">
        <x:v>Main Channel</x:v>
      </x:c>
    </x:row>
    <x:row r="3" ht="34" customHeight="1">
      <x:c r="A3" s="15" t="str">
        <x:v>Free</x:v>
      </x:c>
      <x:c r="B3" s="15" t="str">
        <x:v>Lead magnet</x:v>
      </x:c>
      <x:c r="C3" s="15" t="str">
        <x:v>Free weekly planner, budget sheet, planner ideas list</x:v>
      </x:c>
      <x:c r="D3" s="15" t="str">
        <x:v>Attract audience and build email list</x:v>
      </x:c>
      <x:c r="E3" s="15" t="str">
        <x:v>Website, Social, Email</x:v>
      </x:c>
    </x:row>
    <x:row r="4" ht="34" customHeight="1">
      <x:c r="A4" s="15" t="str">
        <x:v>Low Ticket</x:v>
      </x:c>
      <x:c r="B4" s="15" t="str">
        <x:v>Entry product</x:v>
      </x:c>
      <x:c r="C4" s="15" t="str">
        <x:v>Daily planner, habit tracker, budget tracker</x:v>
      </x:c>
      <x:c r="D4" s="15" t="str">
        <x:v>Generate first purchase</x:v>
      </x:c>
      <x:c r="E4" s="15" t="str">
        <x:v>Website, Etsy</x:v>
      </x:c>
    </x:row>
    <x:row r="5" ht="34" customHeight="1">
      <x:c r="A5" s="15" t="str">
        <x:v>Mid Ticket</x:v>
      </x:c>
      <x:c r="B5" s="15" t="str">
        <x:v>Bundle</x:v>
      </x:c>
      <x:c r="C5" s="15" t="str">
        <x:v>Productivity bundle, finance bundle, student pack</x:v>
      </x:c>
      <x:c r="D5" s="15" t="str">
        <x:v>Increase average order value</x:v>
      </x:c>
      <x:c r="E5" s="15" t="str">
        <x:v>Website, Etsy, Email</x:v>
      </x:c>
    </x:row>
    <x:row r="6" ht="34" customHeight="1">
      <x:c r="A6" s="15" t="str">
        <x:v>Higher Ticket</x:v>
      </x:c>
      <x:c r="B6" s="15" t="str">
        <x:v>Education</x:v>
      </x:c>
      <x:c r="C6" s="15" t="str">
        <x:v>Mini-course, workshop, planner creation kit</x:v>
      </x:c>
      <x:c r="D6" s="15" t="str">
        <x:v>Higher-margin monetization</x:v>
      </x:c>
      <x:c r="E6" s="15" t="str">
        <x:v>Website, TikTok US, Email</x:v>
      </x:c>
    </x:row>
    <x:row r="7" ht="34" customHeight="1">
      <x:c r="A7" s="15" t="str">
        <x:v>Recurring</x:v>
      </x:c>
      <x:c r="B7" s="15" t="str">
        <x:v>Community / membership</x:v>
      </x:c>
      <x:c r="C7" s="15" t="str">
        <x:v>Planner club, monthly challenge, premium community</x:v>
      </x:c>
      <x:c r="D7" s="15" t="str">
        <x:v>Stable recurring revenue</x:v>
      </x:c>
      <x:c r="E7" s="15" t="str">
        <x:v>Website, Facebook Group, Email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4dbb4b2d05e440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2" hidden="0" customWidth="1"/>
    <x:col min="4" max="4" width="12" hidden="0" customWidth="1"/>
    <x:col min="5" max="5" width="36" hidden="0" customWidth="1"/>
    <x:col min="6" max="6" width="10" hidden="0" customWidth="1"/>
    <x:col min="7" max="7" width="16" hidden="0" customWidth="1"/>
    <x:col min="8" max="8" width="10" hidden="0" customWidth="1"/>
    <x:col min="9" max="9" width="12" hidden="0" customWidth="1"/>
    <x:col min="10" max="10" width="12" hidden="0" customWidth="1"/>
    <x:col min="11" max="11" width="8" hidden="0" customWidth="1"/>
    <x:col min="12" max="12" width="14" hidden="0" customWidth="1"/>
    <x:col min="13" max="13" width="10" hidden="0" customWidth="1"/>
    <x:col min="14" max="14" width="22" hidden="0" customWidth="1"/>
    <x:col min="15" max="15" width="20" hidden="0" customWidth="1"/>
    <x:col min="16" max="16" width="28" hidden="0" customWidth="1"/>
    <x:col min="17" max="17" width="10" hidden="0" customWidth="1"/>
    <x:col min="18" max="18" width="12" hidden="0" customWidth="1"/>
  </x:cols>
  <x:sheetData>
    <x:row r="1" ht="20" customHeight="1">
      <x:c r="A1" s="28" t="str">
        <x:v>Execution Tracker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8"/>
      <x:c r="N1" s="28"/>
      <x:c r="O1" s="28"/>
      <x:c r="P1" s="28"/>
      <x:c r="Q1" s="28"/>
      <x:c r="R1" s="28"/>
    </x:row>
    <x:row r="2" ht="20" customHeight="1">
      <x:c r="A2" s="33" t="str">
        <x:v>Task ID</x:v>
      </x:c>
      <x:c r="B2" s="33" t="str">
        <x:v>Phase</x:v>
      </x:c>
      <x:c r="C2" s="33" t="str">
        <x:v>Month</x:v>
      </x:c>
      <x:c r="D2" s="33" t="str">
        <x:v>Area</x:v>
      </x:c>
      <x:c r="E2" s="33" t="str">
        <x:v>Task</x:v>
      </x:c>
      <x:c r="F2" s="33" t="str">
        <x:v>Priority</x:v>
      </x:c>
      <x:c r="G2" s="33" t="str">
        <x:v>Platform</x:v>
      </x:c>
      <x:c r="H2" s="33" t="str">
        <x:v>Owner</x:v>
      </x:c>
      <x:c r="I2" s="33" t="str">
        <x:v>Start Date</x:v>
      </x:c>
      <x:c r="J2" s="33" t="str">
        <x:v>Due Date</x:v>
      </x:c>
      <x:c r="K2" s="33" t="str">
        <x:v>Check</x:v>
      </x:c>
      <x:c r="L2" s="33" t="str">
        <x:v>Status</x:v>
      </x:c>
      <x:c r="M2" s="33" t="str">
        <x:v>Progress %</x:v>
      </x:c>
      <x:c r="N2" s="33" t="str">
        <x:v>Deliverable</x:v>
      </x:c>
      <x:c r="O2" s="33" t="str">
        <x:v>KPI / Success Metric</x:v>
      </x:c>
      <x:c r="P2" s="33" t="str">
        <x:v>Notes</x:v>
      </x:c>
      <x:c r="Q2" s="33" t="str">
        <x:v>Days Left</x:v>
      </x:c>
      <x:c r="R2" s="33" t="str">
        <x:v>Deadline Flag</x:v>
      </x:c>
    </x:row>
    <x:row r="3" ht="20" customHeight="1">
      <x:c r="A3" s="37" t="str">
        <x:v>DL-001</x:v>
      </x:c>
      <x:c r="B3" s="37" t="str">
        <x:v>Foundation</x:v>
      </x:c>
      <x:c r="C3" s="37" t="str">
        <x:v>May 2026</x:v>
      </x:c>
      <x:c r="D3" s="37" t="str">
        <x:v>Brand</x:v>
      </x:c>
      <x:c r="E3" s="37" t="str">
        <x:v>Define mission, positioning, audience, and brand promise</x:v>
      </x:c>
      <x:c r="F3" s="37" t="str">
        <x:v>High</x:v>
      </x:c>
      <x:c r="G3" s="37" t="str">
        <x:v>Internal</x:v>
      </x:c>
      <x:c r="H3" s="37" t="str">
        <x:v>Founder</x:v>
      </x:c>
      <x:c r="I3" s="38" t="n">
        <x:v>46143</x:v>
      </x:c>
      <x:c r="J3" s="38" t="n">
        <x:v>46149</x:v>
      </x:c>
      <x:c r="K3" s="37" t="str">
        <x:v>☐</x:v>
      </x:c>
      <x:c r="L3" s="37" t="str">
        <x:v>Not Started</x:v>
      </x:c>
      <x:c r="M3" s="39" t="n">
        <x:v>0</x:v>
      </x:c>
      <x:c r="N3" s="37" t="str">
        <x:v>Brand strategy document</x:v>
      </x:c>
      <x:c r="O3" s="37" t="str">
        <x:v>Brand clarity completed</x:v>
      </x:c>
      <x:c r="P3" s="37" t="str">
        <x:v>This is the messaging base</x:v>
      </x:c>
      <x:c r="Q3" s="40" t="n">
        <x:f>IF(L3="Done","",J3-TODAY())</x:f>
        <x:v>25</x:v>
      </x:c>
      <x:c r="R3" s="37" t="str">
        <x:f>IF(L3="Done","Done",IF(Q3&lt;0,"Overdue",IF(Q3&lt;=7,"Due Soon","On Track")))</x:f>
        <x:v>On Track</x:v>
      </x:c>
    </x:row>
    <x:row r="4" ht="20" customHeight="1">
      <x:c r="A4" s="37" t="str">
        <x:v>DL-002</x:v>
      </x:c>
      <x:c r="B4" s="37" t="str">
        <x:v>Foundation</x:v>
      </x:c>
      <x:c r="C4" s="37" t="str">
        <x:v>May 2026</x:v>
      </x:c>
      <x:c r="D4" s="37" t="str">
        <x:v>Brand</x:v>
      </x:c>
      <x:c r="E4" s="37" t="str">
        <x:v>Create mini brand guide: colors, fonts, thumbnails, mockup style</x:v>
      </x:c>
      <x:c r="F4" s="37" t="str">
        <x:v>High</x:v>
      </x:c>
      <x:c r="G4" s="37" t="str">
        <x:v>Internal</x:v>
      </x:c>
      <x:c r="H4" s="37" t="str">
        <x:v>Founder</x:v>
      </x:c>
      <x:c r="I4" s="38" t="n">
        <x:v>46145</x:v>
      </x:c>
      <x:c r="J4" s="38" t="n">
        <x:v>46154</x:v>
      </x:c>
      <x:c r="K4" s="37" t="str">
        <x:v>☐</x:v>
      </x:c>
      <x:c r="L4" s="37" t="str">
        <x:v>Not Started</x:v>
      </x:c>
      <x:c r="M4" s="39" t="n">
        <x:v>0</x:v>
      </x:c>
      <x:c r="N4" s="37" t="str">
        <x:v>Mini brand guide</x:v>
      </x:c>
      <x:c r="O4" s="37" t="str">
        <x:v>Consistent visual identity</x:v>
      </x:c>
      <x:c r="P4" s="37" t="str">
        <x:v>Keep visuals simple and repeatable</x:v>
      </x:c>
      <x:c r="Q4" s="40" t="n">
        <x:f>IF(L4="Done","",J4-TODAY())</x:f>
        <x:v>30</x:v>
      </x:c>
      <x:c r="R4" s="37" t="str">
        <x:f>IF(L4="Done","Done",IF(Q4&lt;0,"Overdue",IF(Q4&lt;=7,"Due Soon","On Track")))</x:f>
        <x:v>On Track</x:v>
      </x:c>
    </x:row>
    <x:row r="5" ht="20" customHeight="1">
      <x:c r="A5" s="37" t="str">
        <x:v>DL-003</x:v>
      </x:c>
      <x:c r="B5" s="37" t="str">
        <x:v>Foundation</x:v>
      </x:c>
      <x:c r="C5" s="37" t="str">
        <x:v>May 2026</x:v>
      </x:c>
      <x:c r="D5" s="37" t="str">
        <x:v>Product</x:v>
      </x:c>
      <x:c r="E5" s="37" t="str">
        <x:v>Create core planners: daily, weekly, monthly</x:v>
      </x:c>
      <x:c r="F5" s="37" t="str">
        <x:v>High</x:v>
      </x:c>
      <x:c r="G5" s="37" t="str">
        <x:v>Website, Etsy</x:v>
      </x:c>
      <x:c r="H5" s="37" t="str">
        <x:v>Founder</x:v>
      </x:c>
      <x:c r="I5" s="38" t="n">
        <x:v>46147</x:v>
      </x:c>
      <x:c r="J5" s="38" t="n">
        <x:v>46160</x:v>
      </x:c>
      <x:c r="K5" s="37" t="str">
        <x:v>☐</x:v>
      </x:c>
      <x:c r="L5" s="37" t="str">
        <x:v>Not Started</x:v>
      </x:c>
      <x:c r="M5" s="39" t="n">
        <x:v>0</x:v>
      </x:c>
      <x:c r="N5" s="37" t="str">
        <x:v>3 finished planning products</x:v>
      </x:c>
      <x:c r="O5" s="37" t="str">
        <x:v>3 products ready</x:v>
      </x:c>
      <x:c r="P5" s="37" t="str">
        <x:v>Start with strongest demand</x:v>
      </x:c>
      <x:c r="Q5" s="40" t="n">
        <x:f>IF(L5="Done","",J5-TODAY())</x:f>
        <x:v>36</x:v>
      </x:c>
      <x:c r="R5" s="37" t="str">
        <x:f>IF(L5="Done","Done",IF(Q5&lt;0,"Overdue",IF(Q5&lt;=7,"Due Soon","On Track")))</x:f>
        <x:v>On Track</x:v>
      </x:c>
    </x:row>
    <x:row r="6" ht="20" customHeight="1">
      <x:c r="A6" s="37" t="str">
        <x:v>DL-004</x:v>
      </x:c>
      <x:c r="B6" s="37" t="str">
        <x:v>Foundation</x:v>
      </x:c>
      <x:c r="C6" s="37" t="str">
        <x:v>May 2026</x:v>
      </x:c>
      <x:c r="D6" s="37" t="str">
        <x:v>Product</x:v>
      </x:c>
      <x:c r="E6" s="37" t="str">
        <x:v>Create finance products: budget planner, expense tracker, savings tracker</x:v>
      </x:c>
      <x:c r="F6" s="37" t="str">
        <x:v>High</x:v>
      </x:c>
      <x:c r="G6" s="37" t="str">
        <x:v>Website, Etsy</x:v>
      </x:c>
      <x:c r="H6" s="37" t="str">
        <x:v>Founder</x:v>
      </x:c>
      <x:c r="I6" s="38" t="n">
        <x:v>46150</x:v>
      </x:c>
      <x:c r="J6" s="38" t="n">
        <x:v>46164</x:v>
      </x:c>
      <x:c r="K6" s="37" t="str">
        <x:v>☐</x:v>
      </x:c>
      <x:c r="L6" s="37" t="str">
        <x:v>Not Started</x:v>
      </x:c>
      <x:c r="M6" s="39" t="n">
        <x:v>0</x:v>
      </x:c>
      <x:c r="N6" s="37" t="str">
        <x:v>3 finance products</x:v>
      </x:c>
      <x:c r="O6" s="37" t="str">
        <x:v>Finance category launched</x:v>
      </x:c>
      <x:c r="P6" s="37" t="str">
        <x:v>Finance is a strong niche</x:v>
      </x:c>
      <x:c r="Q6" s="40" t="n">
        <x:f>IF(L6="Done","",J6-TODAY())</x:f>
        <x:v>40</x:v>
      </x:c>
      <x:c r="R6" s="37" t="str">
        <x:f>IF(L6="Done","Done",IF(Q6&lt;0,"Overdue",IF(Q6&lt;=7,"Due Soon","On Track")))</x:f>
        <x:v>On Track</x:v>
      </x:c>
    </x:row>
    <x:row r="7" ht="20" customHeight="1">
      <x:c r="A7" s="37" t="str">
        <x:v>DL-005</x:v>
      </x:c>
      <x:c r="B7" s="37" t="str">
        <x:v>Foundation</x:v>
      </x:c>
      <x:c r="C7" s="37" t="str">
        <x:v>May 2026</x:v>
      </x:c>
      <x:c r="D7" s="37" t="str">
        <x:v>Product</x:v>
      </x:c>
      <x:c r="E7" s="37" t="str">
        <x:v>Create niche products: student planner, content planner, business planner</x:v>
      </x:c>
      <x:c r="F7" s="37" t="str">
        <x:v>Medium</x:v>
      </x:c>
      <x:c r="G7" s="37" t="str">
        <x:v>Website, Etsy</x:v>
      </x:c>
      <x:c r="H7" s="37" t="str">
        <x:v>Founder</x:v>
      </x:c>
      <x:c r="I7" s="38" t="n">
        <x:v>46154</x:v>
      </x:c>
      <x:c r="J7" s="38" t="n">
        <x:v>46170</x:v>
      </x:c>
      <x:c r="K7" s="37" t="str">
        <x:v>☐</x:v>
      </x:c>
      <x:c r="L7" s="37" t="str">
        <x:v>Not Started</x:v>
      </x:c>
      <x:c r="M7" s="39" t="n">
        <x:v>0</x:v>
      </x:c>
      <x:c r="N7" s="37" t="str">
        <x:v>3 niche products</x:v>
      </x:c>
      <x:c r="O7" s="37" t="str">
        <x:v>Category diversity</x:v>
      </x:c>
      <x:c r="P7" s="37" t="str">
        <x:v>Good for testing demand</x:v>
      </x:c>
      <x:c r="Q7" s="40" t="n">
        <x:f>IF(L7="Done","",J7-TODAY())</x:f>
        <x:v>46</x:v>
      </x:c>
      <x:c r="R7" s="37" t="str">
        <x:f>IF(L7="Done","Done",IF(Q7&lt;0,"Overdue",IF(Q7&lt;=7,"Due Soon","On Track")))</x:f>
        <x:v>On Track</x:v>
      </x:c>
    </x:row>
    <x:row r="8" ht="20" customHeight="1">
      <x:c r="A8" s="37" t="str">
        <x:v>DL-006</x:v>
      </x:c>
      <x:c r="B8" s="37" t="str">
        <x:v>Foundation</x:v>
      </x:c>
      <x:c r="C8" s="37" t="str">
        <x:v>May 2026</x:v>
      </x:c>
      <x:c r="D8" s="37" t="str">
        <x:v>Assets</x:v>
      </x:c>
      <x:c r="E8" s="37" t="str">
        <x:v>Prepare mockups, thumbnails, file packaging, instruction PDF</x:v>
      </x:c>
      <x:c r="F8" s="37" t="str">
        <x:v>High</x:v>
      </x:c>
      <x:c r="G8" s="37" t="str">
        <x:v>Website, Etsy</x:v>
      </x:c>
      <x:c r="H8" s="37" t="str">
        <x:v>Founder</x:v>
      </x:c>
      <x:c r="I8" s="38" t="n">
        <x:v>46157</x:v>
      </x:c>
      <x:c r="J8" s="38" t="n">
        <x:v>46172</x:v>
      </x:c>
      <x:c r="K8" s="37" t="str">
        <x:v>☐</x:v>
      </x:c>
      <x:c r="L8" s="37" t="str">
        <x:v>Not Started</x:v>
      </x:c>
      <x:c r="M8" s="39" t="n">
        <x:v>0</x:v>
      </x:c>
      <x:c r="N8" s="37" t="str">
        <x:v>Listing asset pack</x:v>
      </x:c>
      <x:c r="O8" s="37" t="str">
        <x:v>All launch SKUs have assets</x:v>
      </x:c>
      <x:c r="P8" s="37" t="str">
        <x:v>Important for conversion and support</x:v>
      </x:c>
      <x:c r="Q8" s="40" t="n">
        <x:f>IF(L8="Done","",J8-TODAY())</x:f>
        <x:v>48</x:v>
      </x:c>
      <x:c r="R8" s="37" t="str">
        <x:f>IF(L8="Done","Done",IF(Q8&lt;0,"Overdue",IF(Q8&lt;=7,"Due Soon","On Track")))</x:f>
        <x:v>On Track</x:v>
      </x:c>
    </x:row>
    <x:row r="9" ht="20" customHeight="1">
      <x:c r="A9" s="37" t="str">
        <x:v>DL-007</x:v>
      </x:c>
      <x:c r="B9" s="37" t="str">
        <x:v>Foundation</x:v>
      </x:c>
      <x:c r="C9" s="37" t="str">
        <x:v>May 2026</x:v>
      </x:c>
      <x:c r="D9" s="37" t="str">
        <x:v>Website</x:v>
      </x:c>
      <x:c r="E9" s="37" t="str">
        <x:v>Build home, shop, categories, About, FAQ, legal pages</x:v>
      </x:c>
      <x:c r="F9" s="37" t="str">
        <x:v>High</x:v>
      </x:c>
      <x:c r="G9" s="37" t="str">
        <x:v>Website</x:v>
      </x:c>
      <x:c r="H9" s="37" t="str">
        <x:v>Founder</x:v>
      </x:c>
      <x:c r="I9" s="38" t="n">
        <x:v>46152</x:v>
      </x:c>
      <x:c r="J9" s="38" t="n">
        <x:v>46173</x:v>
      </x:c>
      <x:c r="K9" s="37" t="str">
        <x:v>☐</x:v>
      </x:c>
      <x:c r="L9" s="37" t="str">
        <x:v>Not Started</x:v>
      </x:c>
      <x:c r="M9" s="39" t="n">
        <x:v>0</x:v>
      </x:c>
      <x:c r="N9" s="37" t="str">
        <x:v>Live website structure</x:v>
      </x:c>
      <x:c r="O9" s="37" t="str">
        <x:v>Website is navigable</x:v>
      </x:c>
      <x:c r="P9" s="37" t="str">
        <x:v>Keep menu clear</x:v>
      </x:c>
      <x:c r="Q9" s="40" t="n">
        <x:f>IF(L9="Done","",J9-TODAY())</x:f>
        <x:v>49</x:v>
      </x:c>
      <x:c r="R9" s="37" t="str">
        <x:f>IF(L9="Done","Done",IF(Q9&lt;0,"Overdue",IF(Q9&lt;=7,"Due Soon","On Track")))</x:f>
        <x:v>On Track</x:v>
      </x:c>
    </x:row>
    <x:row r="10" ht="20" customHeight="1">
      <x:c r="A10" s="37" t="str">
        <x:v>DL-008</x:v>
      </x:c>
      <x:c r="B10" s="37" t="str">
        <x:v>Foundation</x:v>
      </x:c>
      <x:c r="C10" s="37" t="str">
        <x:v>May 2026</x:v>
      </x:c>
      <x:c r="D10" s="37" t="str">
        <x:v>Payments</x:v>
      </x:c>
      <x:c r="E10" s="37" t="str">
        <x:v>Set up VND and international checkout and test full flow</x:v>
      </x:c>
      <x:c r="F10" s="37" t="str">
        <x:v>High</x:v>
      </x:c>
      <x:c r="G10" s="37" t="str">
        <x:v>Website</x:v>
      </x:c>
      <x:c r="H10" s="37" t="str">
        <x:v>Founder</x:v>
      </x:c>
      <x:c r="I10" s="38" t="n">
        <x:v>46160</x:v>
      </x:c>
      <x:c r="J10" s="38" t="n">
        <x:v>46173</x:v>
      </x:c>
      <x:c r="K10" s="37" t="str">
        <x:v>☐</x:v>
      </x:c>
      <x:c r="L10" s="37" t="str">
        <x:v>Not Started</x:v>
      </x:c>
      <x:c r="M10" s="39" t="n">
        <x:v>0</x:v>
      </x:c>
      <x:c r="N10" s="37" t="str">
        <x:v>Working checkout</x:v>
      </x:c>
      <x:c r="O10" s="37" t="str">
        <x:v>Successful test purchase</x:v>
      </x:c>
      <x:c r="P10" s="37" t="str">
        <x:v>Test mobile checkout too</x:v>
      </x:c>
      <x:c r="Q10" s="40" t="n">
        <x:f>IF(L10="Done","",J10-TODAY())</x:f>
        <x:v>49</x:v>
      </x:c>
      <x:c r="R10" s="37" t="str">
        <x:f>IF(L10="Done","Done",IF(Q10&lt;0,"Overdue",IF(Q10&lt;=7,"Due Soon","On Track")))</x:f>
        <x:v>On Track</x:v>
      </x:c>
    </x:row>
    <x:row r="11" ht="20" customHeight="1">
      <x:c r="A11" s="37" t="str">
        <x:v>DL-009</x:v>
      </x:c>
      <x:c r="B11" s="37" t="str">
        <x:v>Foundation</x:v>
      </x:c>
      <x:c r="C11" s="37" t="str">
        <x:v>June 2026</x:v>
      </x:c>
      <x:c r="D11" s="37" t="str">
        <x:v>Etsy</x:v>
      </x:c>
      <x:c r="E11" s="37" t="str">
        <x:v>Open Etsy shop, set branding, and publish first 8-12 listings</x:v>
      </x:c>
      <x:c r="F11" s="37" t="str">
        <x:v>High</x:v>
      </x:c>
      <x:c r="G11" s="37" t="str">
        <x:v>Etsy</x:v>
      </x:c>
      <x:c r="H11" s="37" t="str">
        <x:v>Founder</x:v>
      </x:c>
      <x:c r="I11" s="38" t="n">
        <x:v>46174</x:v>
      </x:c>
      <x:c r="J11" s="38" t="n">
        <x:v>46185</x:v>
      </x:c>
      <x:c r="K11" s="37" t="str">
        <x:v>☐</x:v>
      </x:c>
      <x:c r="L11" s="37" t="str">
        <x:v>Not Started</x:v>
      </x:c>
      <x:c r="M11" s="39" t="n">
        <x:v>0</x:v>
      </x:c>
      <x:c r="N11" s="37" t="str">
        <x:v>Live Etsy shop</x:v>
      </x:c>
      <x:c r="O11" s="37" t="str">
        <x:v>8-12 listings live</x:v>
      </x:c>
      <x:c r="P11" s="37" t="str">
        <x:v>Focus on searchable products</x:v>
      </x:c>
      <x:c r="Q11" s="40" t="n">
        <x:f>IF(L11="Done","",J11-TODAY())</x:f>
        <x:v>61</x:v>
      </x:c>
      <x:c r="R11" s="37" t="str">
        <x:f>IF(L11="Done","Done",IF(Q11&lt;0,"Overdue",IF(Q11&lt;=7,"Due Soon","On Track")))</x:f>
        <x:v>On Track</x:v>
      </x:c>
    </x:row>
    <x:row r="12" ht="20" customHeight="1">
      <x:c r="A12" s="37" t="str">
        <x:v>DL-010</x:v>
      </x:c>
      <x:c r="B12" s="37" t="str">
        <x:v>Foundation</x:v>
      </x:c>
      <x:c r="C12" s="37" t="str">
        <x:v>June 2026</x:v>
      </x:c>
      <x:c r="D12" s="37" t="str">
        <x:v>Email</x:v>
      </x:c>
      <x:c r="E12" s="37" t="str">
        <x:v>Create lead magnet and 3-5 email welcome flow</x:v>
      </x:c>
      <x:c r="F12" s="37" t="str">
        <x:v>High</x:v>
      </x:c>
      <x:c r="G12" s="37" t="str">
        <x:v>Website, Email</x:v>
      </x:c>
      <x:c r="H12" s="37" t="str">
        <x:v>Founder</x:v>
      </x:c>
      <x:c r="I12" s="38" t="n">
        <x:v>46176</x:v>
      </x:c>
      <x:c r="J12" s="38" t="n">
        <x:v>46187</x:v>
      </x:c>
      <x:c r="K12" s="37" t="str">
        <x:v>☐</x:v>
      </x:c>
      <x:c r="L12" s="37" t="str">
        <x:v>Not Started</x:v>
      </x:c>
      <x:c r="M12" s="39" t="n">
        <x:v>0</x:v>
      </x:c>
      <x:c r="N12" s="37" t="str">
        <x:v>Freebie + welcome flow</x:v>
      </x:c>
      <x:c r="O12" s="37" t="str">
        <x:v>First email subscribers</x:v>
      </x:c>
      <x:c r="P12" s="37" t="str">
        <x:v>Segment later by buyer type</x:v>
      </x:c>
      <x:c r="Q12" s="40" t="n">
        <x:f>IF(L12="Done","",J12-TODAY())</x:f>
        <x:v>63</x:v>
      </x:c>
      <x:c r="R12" s="37" t="str">
        <x:f>IF(L12="Done","Done",IF(Q12&lt;0,"Overdue",IF(Q12&lt;=7,"Due Soon","On Track")))</x:f>
        <x:v>On Track</x:v>
      </x:c>
    </x:row>
    <x:row r="13" ht="20" customHeight="1">
      <x:c r="A13" s="37" t="str">
        <x:v>DL-011</x:v>
      </x:c>
      <x:c r="B13" s="37" t="str">
        <x:v>Soft Launch</x:v>
      </x:c>
      <x:c r="C13" s="37" t="str">
        <x:v>June 2026</x:v>
      </x:c>
      <x:c r="D13" s="37" t="str">
        <x:v>Launch</x:v>
      </x:c>
      <x:c r="E13" s="37" t="str">
        <x:v>Launch first DaisyLexi product collection</x:v>
      </x:c>
      <x:c r="F13" s="37" t="str">
        <x:v>High</x:v>
      </x:c>
      <x:c r="G13" s="37" t="str">
        <x:v>Website, Etsy</x:v>
      </x:c>
      <x:c r="H13" s="37" t="str">
        <x:v>Founder</x:v>
      </x:c>
      <x:c r="I13" s="38" t="n">
        <x:v>46188</x:v>
      </x:c>
      <x:c r="J13" s="38" t="n">
        <x:v>46195</x:v>
      </x:c>
      <x:c r="K13" s="37" t="str">
        <x:v>☐</x:v>
      </x:c>
      <x:c r="L13" s="37" t="str">
        <x:v>Not Started</x:v>
      </x:c>
      <x:c r="M13" s="39" t="n">
        <x:v>0</x:v>
      </x:c>
      <x:c r="N13" s="37" t="str">
        <x:v>Collection live</x:v>
      </x:c>
      <x:c r="O13" s="37" t="str">
        <x:v>First sales</x:v>
      </x:c>
      <x:c r="P13" s="37" t="str">
        <x:v>Support launch with content</x:v>
      </x:c>
      <x:c r="Q13" s="40" t="n">
        <x:f>IF(L13="Done","",J13-TODAY())</x:f>
        <x:v>71</x:v>
      </x:c>
      <x:c r="R13" s="37" t="str">
        <x:f>IF(L13="Done","Done",IF(Q13&lt;0,"Overdue",IF(Q13&lt;=7,"Due Soon","On Track")))</x:f>
        <x:v>On Track</x:v>
      </x:c>
    </x:row>
    <x:row r="14" ht="20" customHeight="1">
      <x:c r="A14" s="37" t="str">
        <x:v>DL-012</x:v>
      </x:c>
      <x:c r="B14" s="37" t="str">
        <x:v>Soft Launch</x:v>
      </x:c>
      <x:c r="C14" s="37" t="str">
        <x:v>June 2026</x:v>
      </x:c>
      <x:c r="D14" s="37" t="str">
        <x:v>Bundle</x:v>
      </x:c>
      <x:c r="E14" s="37" t="str">
        <x:v>Create starter bundle for planners and trackers</x:v>
      </x:c>
      <x:c r="F14" s="37" t="str">
        <x:v>High</x:v>
      </x:c>
      <x:c r="G14" s="37" t="str">
        <x:v>Website, Etsy</x:v>
      </x:c>
      <x:c r="H14" s="37" t="str">
        <x:v>Founder</x:v>
      </x:c>
      <x:c r="I14" s="38" t="n">
        <x:v>46188</x:v>
      </x:c>
      <x:c r="J14" s="38" t="n">
        <x:v>46198</x:v>
      </x:c>
      <x:c r="K14" s="37" t="str">
        <x:v>☐</x:v>
      </x:c>
      <x:c r="L14" s="37" t="str">
        <x:v>Not Started</x:v>
      </x:c>
      <x:c r="M14" s="39" t="n">
        <x:v>0</x:v>
      </x:c>
      <x:c r="N14" s="37" t="str">
        <x:v>Starter bundle</x:v>
      </x:c>
      <x:c r="O14" s="37" t="str">
        <x:v>Bundle conversion rate</x:v>
      </x:c>
      <x:c r="P14" s="37" t="str">
        <x:v>Use best entry-level products</x:v>
      </x:c>
      <x:c r="Q14" s="40" t="n">
        <x:f>IF(L14="Done","",J14-TODAY())</x:f>
        <x:v>74</x:v>
      </x:c>
      <x:c r="R14" s="37" t="str">
        <x:f>IF(L14="Done","Done",IF(Q14&lt;0,"Overdue",IF(Q14&lt;=7,"Due Soon","On Track")))</x:f>
        <x:v>On Track</x:v>
      </x:c>
    </x:row>
    <x:row r="15" ht="20" customHeight="1">
      <x:c r="A15" s="37" t="str">
        <x:v>DL-013</x:v>
      </x:c>
      <x:c r="B15" s="37" t="str">
        <x:v>Soft Launch</x:v>
      </x:c>
      <x:c r="C15" s="37" t="str">
        <x:v>June 2026</x:v>
      </x:c>
      <x:c r="D15" s="37" t="str">
        <x:v>Content</x:v>
      </x:c>
      <x:c r="E15" s="37" t="str">
        <x:v>Build 30-day content calendar and posting system</x:v>
      </x:c>
      <x:c r="F15" s="37" t="str">
        <x:v>High</x:v>
      </x:c>
      <x:c r="G15" s="37" t="str">
        <x:v>IG, TikTok VN, FB</x:v>
      </x:c>
      <x:c r="H15" s="37" t="str">
        <x:v>Founder</x:v>
      </x:c>
      <x:c r="I15" s="38" t="n">
        <x:v>46183</x:v>
      </x:c>
      <x:c r="J15" s="38" t="n">
        <x:v>46193</x:v>
      </x:c>
      <x:c r="K15" s="37" t="str">
        <x:v>☐</x:v>
      </x:c>
      <x:c r="L15" s="37" t="str">
        <x:v>Not Started</x:v>
      </x:c>
      <x:c r="M15" s="39" t="n">
        <x:v>0</x:v>
      </x:c>
      <x:c r="N15" s="37" t="str">
        <x:v>30-day calendar</x:v>
      </x:c>
      <x:c r="O15" s="37" t="str">
        <x:v>Posting consistency</x:v>
      </x:c>
      <x:c r="P15" s="37" t="str">
        <x:v>Create reusable content templates</x:v>
      </x:c>
      <x:c r="Q15" s="40" t="n">
        <x:f>IF(L15="Done","",J15-TODAY())</x:f>
        <x:v>69</x:v>
      </x:c>
      <x:c r="R15" s="37" t="str">
        <x:f>IF(L15="Done","Done",IF(Q15&lt;0,"Overdue",IF(Q15&lt;=7,"Due Soon","On Track")))</x:f>
        <x:v>On Track</x:v>
      </x:c>
    </x:row>
    <x:row r="16" ht="20" customHeight="1">
      <x:c r="A16" s="37" t="str">
        <x:v>DL-014</x:v>
      </x:c>
      <x:c r="B16" s="37" t="str">
        <x:v>Soft Launch</x:v>
      </x:c>
      <x:c r="C16" s="37" t="str">
        <x:v>July 2026</x:v>
      </x:c>
      <x:c r="D16" s="37" t="str">
        <x:v>Community</x:v>
      </x:c>
      <x:c r="E16" s="37" t="str">
        <x:v>Launch Facebook Group with rules, welcome post, and prompts</x:v>
      </x:c>
      <x:c r="F16" s="37" t="str">
        <x:v>Medium</x:v>
      </x:c>
      <x:c r="G16" s="37" t="str">
        <x:v>Facebook Group</x:v>
      </x:c>
      <x:c r="H16" s="37" t="str">
        <x:v>Founder</x:v>
      </x:c>
      <x:c r="I16" s="38" t="n">
        <x:v>46204</x:v>
      </x:c>
      <x:c r="J16" s="38" t="n">
        <x:v>46213</x:v>
      </x:c>
      <x:c r="K16" s="37" t="str">
        <x:v>☐</x:v>
      </x:c>
      <x:c r="L16" s="37" t="str">
        <x:v>Not Started</x:v>
      </x:c>
      <x:c r="M16" s="39" t="n">
        <x:v>0</x:v>
      </x:c>
      <x:c r="N16" s="37" t="str">
        <x:v>Active group</x:v>
      </x:c>
      <x:c r="O16" s="37" t="str">
        <x:v>Member growth</x:v>
      </x:c>
      <x:c r="P16" s="37" t="str">
        <x:v>Use weekly recurring threads</x:v>
      </x:c>
      <x:c r="Q16" s="40" t="n">
        <x:f>IF(L16="Done","",J16-TODAY())</x:f>
        <x:v>89</x:v>
      </x:c>
      <x:c r="R16" s="37" t="str">
        <x:f>IF(L16="Done","Done",IF(Q16&lt;0,"Overdue",IF(Q16&lt;=7,"Due Soon","On Track")))</x:f>
        <x:v>On Track</x:v>
      </x:c>
    </x:row>
    <x:row r="17" ht="20" customHeight="1">
      <x:c r="A17" s="37" t="str">
        <x:v>DL-015</x:v>
      </x:c>
      <x:c r="B17" s="37" t="str">
        <x:v>Soft Launch</x:v>
      </x:c>
      <x:c r="C17" s="37" t="str">
        <x:v>July 2026</x:v>
      </x:c>
      <x:c r="D17" s="37" t="str">
        <x:v>Challenge</x:v>
      </x:c>
      <x:c r="E17" s="37" t="str">
        <x:v>Run 7-day planning or budgeting challenge</x:v>
      </x:c>
      <x:c r="F17" s="37" t="str">
        <x:v>Medium</x:v>
      </x:c>
      <x:c r="G17" s="37" t="str">
        <x:v>Facebook Group</x:v>
      </x:c>
      <x:c r="H17" s="37" t="str">
        <x:v>Founder</x:v>
      </x:c>
      <x:c r="I17" s="38" t="n">
        <x:v>46213</x:v>
      </x:c>
      <x:c r="J17" s="38" t="n">
        <x:v>46223</x:v>
      </x:c>
      <x:c r="K17" s="37" t="str">
        <x:v>☐</x:v>
      </x:c>
      <x:c r="L17" s="37" t="str">
        <x:v>Not Started</x:v>
      </x:c>
      <x:c r="M17" s="39" t="n">
        <x:v>0</x:v>
      </x:c>
      <x:c r="N17" s="37" t="str">
        <x:v>First challenge</x:v>
      </x:c>
      <x:c r="O17" s="37" t="str">
        <x:v>Participation rate</x:v>
      </x:c>
      <x:c r="P17" s="37" t="str">
        <x:v>Great for trust-building</x:v>
      </x:c>
      <x:c r="Q17" s="40" t="n">
        <x:f>IF(L17="Done","",J17-TODAY())</x:f>
        <x:v>99</x:v>
      </x:c>
      <x:c r="R17" s="37" t="str">
        <x:f>IF(L17="Done","Done",IF(Q17&lt;0,"Overdue",IF(Q17&lt;=7,"Due Soon","On Track")))</x:f>
        <x:v>On Track</x:v>
      </x:c>
    </x:row>
    <x:row r="18" ht="20" customHeight="1">
      <x:c r="A18" s="37" t="str">
        <x:v>DL-016</x:v>
      </x:c>
      <x:c r="B18" s="37" t="str">
        <x:v>Soft Launch</x:v>
      </x:c>
      <x:c r="C18" s="37" t="str">
        <x:v>July 2026</x:v>
      </x:c>
      <x:c r="D18" s="37" t="str">
        <x:v>Conversion</x:v>
      </x:c>
      <x:c r="E18" s="37" t="str">
        <x:v>Improve product pages: titles, benefits, previews, FAQ, device notes</x:v>
      </x:c>
      <x:c r="F18" s="37" t="str">
        <x:v>High</x:v>
      </x:c>
      <x:c r="G18" s="37" t="str">
        <x:v>Website, Etsy</x:v>
      </x:c>
      <x:c r="H18" s="37" t="str">
        <x:v>Founder</x:v>
      </x:c>
      <x:c r="I18" s="38" t="n">
        <x:v>46208</x:v>
      </x:c>
      <x:c r="J18" s="38" t="n">
        <x:v>46228</x:v>
      </x:c>
      <x:c r="K18" s="37" t="str">
        <x:v>☐</x:v>
      </x:c>
      <x:c r="L18" s="37" t="str">
        <x:v>Not Started</x:v>
      </x:c>
      <x:c r="M18" s="39" t="n">
        <x:v>0</x:v>
      </x:c>
      <x:c r="N18" s="37" t="str">
        <x:v>Optimized product pages</x:v>
      </x:c>
      <x:c r="O18" s="37" t="str">
        <x:v>Higher conversion</x:v>
      </x:c>
      <x:c r="P18" s="37" t="str">
        <x:v>Use customer questions as input</x:v>
      </x:c>
      <x:c r="Q18" s="40" t="n">
        <x:f>IF(L18="Done","",J18-TODAY())</x:f>
        <x:v>104</x:v>
      </x:c>
      <x:c r="R18" s="37" t="str">
        <x:f>IF(L18="Done","Done",IF(Q18&lt;0,"Overdue",IF(Q18&lt;=7,"Due Soon","On Track")))</x:f>
        <x:v>On Track</x:v>
      </x:c>
    </x:row>
    <x:row r="19" ht="20" customHeight="1">
      <x:c r="A19" s="37" t="str">
        <x:v>DL-017</x:v>
      </x:c>
      <x:c r="B19" s="37" t="str">
        <x:v>Growth</x:v>
      </x:c>
      <x:c r="C19" s="37" t="str">
        <x:v>August 2026</x:v>
      </x:c>
      <x:c r="D19" s="37" t="str">
        <x:v>Analytics</x:v>
      </x:c>
      <x:c r="E19" s="37" t="str">
        <x:v>Review top viewed, top converting, and most saved products</x:v>
      </x:c>
      <x:c r="F19" s="37" t="str">
        <x:v>High</x:v>
      </x:c>
      <x:c r="G19" s="37" t="str">
        <x:v>Website, Etsy, Social</x:v>
      </x:c>
      <x:c r="H19" s="37" t="str">
        <x:v>Founder</x:v>
      </x:c>
      <x:c r="I19" s="38" t="n">
        <x:v>46235</x:v>
      </x:c>
      <x:c r="J19" s="38" t="n">
        <x:v>46242</x:v>
      </x:c>
      <x:c r="K19" s="37" t="str">
        <x:v>☐</x:v>
      </x:c>
      <x:c r="L19" s="37" t="str">
        <x:v>Not Started</x:v>
      </x:c>
      <x:c r="M19" s="39" t="n">
        <x:v>0</x:v>
      </x:c>
      <x:c r="N19" s="37" t="str">
        <x:v>Best-seller report</x:v>
      </x:c>
      <x:c r="O19" s="37" t="str">
        <x:v>Top 3 products identified</x:v>
      </x:c>
      <x:c r="P19" s="37" t="str">
        <x:v>Use data, not assumptions</x:v>
      </x:c>
      <x:c r="Q19" s="40" t="n">
        <x:f>IF(L19="Done","",J19-TODAY())</x:f>
        <x:v>118</x:v>
      </x:c>
      <x:c r="R19" s="37" t="str">
        <x:f>IF(L19="Done","Done",IF(Q19&lt;0,"Overdue",IF(Q19&lt;=7,"Due Soon","On Track")))</x:f>
        <x:v>On Track</x:v>
      </x:c>
    </x:row>
    <x:row r="20" ht="20" customHeight="1">
      <x:c r="A20" s="37" t="str">
        <x:v>DL-018</x:v>
      </x:c>
      <x:c r="B20" s="37" t="str">
        <x:v>Growth</x:v>
      </x:c>
      <x:c r="C20" s="37" t="str">
        <x:v>August 2026</x:v>
      </x:c>
      <x:c r="D20" s="37" t="str">
        <x:v>Product</x:v>
      </x:c>
      <x:c r="E20" s="37" t="str">
        <x:v>Expand winning category with 3-5 new products</x:v>
      </x:c>
      <x:c r="F20" s="37" t="str">
        <x:v>High</x:v>
      </x:c>
      <x:c r="G20" s="37" t="str">
        <x:v>Website, Etsy</x:v>
      </x:c>
      <x:c r="H20" s="37" t="str">
        <x:v>Founder</x:v>
      </x:c>
      <x:c r="I20" s="38" t="n">
        <x:v>46243</x:v>
      </x:c>
      <x:c r="J20" s="38" t="n">
        <x:v>46262</x:v>
      </x:c>
      <x:c r="K20" s="37" t="str">
        <x:v>☐</x:v>
      </x:c>
      <x:c r="L20" s="37" t="str">
        <x:v>Not Started</x:v>
      </x:c>
      <x:c r="M20" s="39" t="n">
        <x:v>0</x:v>
      </x:c>
      <x:c r="N20" s="37" t="str">
        <x:v>Expanded product family</x:v>
      </x:c>
      <x:c r="O20" s="37" t="str">
        <x:v>Sales growth</x:v>
      </x:c>
      <x:c r="P20" s="37" t="str">
        <x:v>Follow actual demand</x:v>
      </x:c>
      <x:c r="Q20" s="40" t="n">
        <x:f>IF(L20="Done","",J20-TODAY())</x:f>
        <x:v>138</x:v>
      </x:c>
      <x:c r="R20" s="37" t="str">
        <x:f>IF(L20="Done","Done",IF(Q20&lt;0,"Overdue",IF(Q20&lt;=7,"Due Soon","On Track")))</x:f>
        <x:v>On Track</x:v>
      </x:c>
    </x:row>
    <x:row r="21" ht="20" customHeight="1">
      <x:c r="A21" s="37" t="str">
        <x:v>DL-019</x:v>
      </x:c>
      <x:c r="B21" s="37" t="str">
        <x:v>Growth</x:v>
      </x:c>
      <x:c r="C21" s="37" t="str">
        <x:v>August 2026</x:v>
      </x:c>
      <x:c r="D21" s="37" t="str">
        <x:v>SEO</x:v>
      </x:c>
      <x:c r="E21" s="37" t="str">
        <x:v>Improve Etsy titles, tags, thumbnails, descriptions</x:v>
      </x:c>
      <x:c r="F21" s="37" t="str">
        <x:v>High</x:v>
      </x:c>
      <x:c r="G21" s="37" t="str">
        <x:v>Etsy</x:v>
      </x:c>
      <x:c r="H21" s="37" t="str">
        <x:v>Founder</x:v>
      </x:c>
      <x:c r="I21" s="38" t="n">
        <x:v>46239</x:v>
      </x:c>
      <x:c r="J21" s="38" t="n">
        <x:v>46264</x:v>
      </x:c>
      <x:c r="K21" s="37" t="str">
        <x:v>☐</x:v>
      </x:c>
      <x:c r="L21" s="37" t="str">
        <x:v>Not Started</x:v>
      </x:c>
      <x:c r="M21" s="39" t="n">
        <x:v>0</x:v>
      </x:c>
      <x:c r="N21" s="37" t="str">
        <x:v>Optimized Etsy listings</x:v>
      </x:c>
      <x:c r="O21" s="37" t="str">
        <x:v>More Etsy visits</x:v>
      </x:c>
      <x:c r="P21" s="37" t="str">
        <x:v>Keep consistent naming system</x:v>
      </x:c>
      <x:c r="Q21" s="40" t="n">
        <x:f>IF(L21="Done","",J21-TODAY())</x:f>
        <x:v>140</x:v>
      </x:c>
      <x:c r="R21" s="37" t="str">
        <x:f>IF(L21="Done","Done",IF(Q21&lt;0,"Overdue",IF(Q21&lt;=7,"Due Soon","On Track")))</x:f>
        <x:v>On Track</x:v>
      </x:c>
    </x:row>
    <x:row r="22" ht="20" customHeight="1">
      <x:c r="A22" s="37" t="str">
        <x:v>DL-020</x:v>
      </x:c>
      <x:c r="B22" s="37" t="str">
        <x:v>Growth</x:v>
      </x:c>
      <x:c r="C22" s="37" t="str">
        <x:v>September 2026</x:v>
      </x:c>
      <x:c r="D22" s="37" t="str">
        <x:v>YouTube</x:v>
      </x:c>
      <x:c r="E22" s="37" t="str">
        <x:v>Launch YouTube with first 5-10 personal finance and planning topics</x:v>
      </x:c>
      <x:c r="F22" s="37" t="str">
        <x:v>Medium</x:v>
      </x:c>
      <x:c r="G22" s="37" t="str">
        <x:v>YouTube</x:v>
      </x:c>
      <x:c r="H22" s="37" t="str">
        <x:v>Founder</x:v>
      </x:c>
      <x:c r="I22" s="38" t="n">
        <x:v>46266</x:v>
      </x:c>
      <x:c r="J22" s="38" t="n">
        <x:v>46285</x:v>
      </x:c>
      <x:c r="K22" s="37" t="str">
        <x:v>☐</x:v>
      </x:c>
      <x:c r="L22" s="37" t="str">
        <x:v>Not Started</x:v>
      </x:c>
      <x:c r="M22" s="39" t="n">
        <x:v>0</x:v>
      </x:c>
      <x:c r="N22" s="37" t="str">
        <x:v>First video batch</x:v>
      </x:c>
      <x:c r="O22" s="37" t="str">
        <x:v>YouTube publishing starts</x:v>
      </x:c>
      <x:c r="P22" s="37" t="str">
        <x:v>Use planner as action bridge</x:v>
      </x:c>
      <x:c r="Q22" s="40" t="n">
        <x:f>IF(L22="Done","",J22-TODAY())</x:f>
        <x:v>161</x:v>
      </x:c>
      <x:c r="R22" s="37" t="str">
        <x:f>IF(L22="Done","Done",IF(Q22&lt;0,"Overdue",IF(Q22&lt;=7,"Due Soon","On Track")))</x:f>
        <x:v>On Track</x:v>
      </x:c>
    </x:row>
    <x:row r="23" ht="20" customHeight="1">
      <x:c r="A23" s="37" t="str">
        <x:v>DL-021</x:v>
      </x:c>
      <x:c r="B23" s="37" t="str">
        <x:v>Growth</x:v>
      </x:c>
      <x:c r="C23" s="37" t="str">
        <x:v>September 2026</x:v>
      </x:c>
      <x:c r="D23" s="37" t="str">
        <x:v>TikTok US</x:v>
      </x:c>
      <x:c r="E23" s="37" t="str">
        <x:v>Test content on digital products and side-hustle education</x:v>
      </x:c>
      <x:c r="F23" s="37" t="str">
        <x:v>Medium</x:v>
      </x:c>
      <x:c r="G23" s="37" t="str">
        <x:v>TikTok US</x:v>
      </x:c>
      <x:c r="H23" s="37" t="str">
        <x:v>Founder</x:v>
      </x:c>
      <x:c r="I23" s="38" t="n">
        <x:v>46270</x:v>
      </x:c>
      <x:c r="J23" s="38" t="n">
        <x:v>46290</x:v>
      </x:c>
      <x:c r="K23" s="37" t="str">
        <x:v>☐</x:v>
      </x:c>
      <x:c r="L23" s="37" t="str">
        <x:v>Not Started</x:v>
      </x:c>
      <x:c r="M23" s="39" t="n">
        <x:v>0</x:v>
      </x:c>
      <x:c r="N23" s="37" t="str">
        <x:v>Initial TikTok US batch</x:v>
      </x:c>
      <x:c r="O23" s="37" t="str">
        <x:v>Watch time and clicks</x:v>
      </x:c>
      <x:c r="P23" s="37" t="str">
        <x:v>Link to creator freebie</x:v>
      </x:c>
      <x:c r="Q23" s="40" t="n">
        <x:f>IF(L23="Done","",J23-TODAY())</x:f>
        <x:v>166</x:v>
      </x:c>
      <x:c r="R23" s="37" t="str">
        <x:f>IF(L23="Done","Done",IF(Q23&lt;0,"Overdue",IF(Q23&lt;=7,"Due Soon","On Track")))</x:f>
        <x:v>On Track</x:v>
      </x:c>
    </x:row>
    <x:row r="24" ht="20" customHeight="1">
      <x:c r="A24" s="37" t="str">
        <x:v>DL-022</x:v>
      </x:c>
      <x:c r="B24" s="37" t="str">
        <x:v>Systemization</x:v>
      </x:c>
      <x:c r="C24" s="37" t="str">
        <x:v>October 2026</x:v>
      </x:c>
      <x:c r="D24" s="37" t="str">
        <x:v>Offers</x:v>
      </x:c>
      <x:c r="E24" s="37" t="str">
        <x:v>Create offer ladder from freebie to bundle to course</x:v>
      </x:c>
      <x:c r="F24" s="37" t="str">
        <x:v>High</x:v>
      </x:c>
      <x:c r="G24" s="37" t="str">
        <x:v>Website, Email</x:v>
      </x:c>
      <x:c r="H24" s="37" t="str">
        <x:v>Founder</x:v>
      </x:c>
      <x:c r="I24" s="38" t="n">
        <x:v>46296</x:v>
      </x:c>
      <x:c r="J24" s="38" t="n">
        <x:v>46307</x:v>
      </x:c>
      <x:c r="K24" s="37" t="str">
        <x:v>☐</x:v>
      </x:c>
      <x:c r="L24" s="37" t="str">
        <x:v>Not Started</x:v>
      </x:c>
      <x:c r="M24" s="39" t="n">
        <x:v>0</x:v>
      </x:c>
      <x:c r="N24" s="37" t="str">
        <x:v>Offer ladder map</x:v>
      </x:c>
      <x:c r="O24" s="37" t="str">
        <x:v>AOV and upsell readiness</x:v>
      </x:c>
      <x:c r="P24" s="37" t="str">
        <x:v>Clarify customer journey</x:v>
      </x:c>
      <x:c r="Q24" s="40" t="n">
        <x:f>IF(L24="Done","",J24-TODAY())</x:f>
        <x:v>183</x:v>
      </x:c>
      <x:c r="R24" s="37" t="str">
        <x:f>IF(L24="Done","Done",IF(Q24&lt;0,"Overdue",IF(Q24&lt;=7,"Due Soon","On Track")))</x:f>
        <x:v>On Track</x:v>
      </x:c>
    </x:row>
    <x:row r="25" ht="20" customHeight="1">
      <x:c r="A25" s="37" t="str">
        <x:v>DL-023</x:v>
      </x:c>
      <x:c r="B25" s="37" t="str">
        <x:v>Systemization</x:v>
      </x:c>
      <x:c r="C25" s="37" t="str">
        <x:v>October 2026</x:v>
      </x:c>
      <x:c r="D25" s="37" t="str">
        <x:v>Education</x:v>
      </x:c>
      <x:c r="E25" s="37" t="str">
        <x:v>Outline first workshop or mini-course</x:v>
      </x:c>
      <x:c r="F25" s="37" t="str">
        <x:v>High</x:v>
      </x:c>
      <x:c r="G25" s="37" t="str">
        <x:v>Website, TikTok US</x:v>
      </x:c>
      <x:c r="H25" s="37" t="str">
        <x:v>Founder</x:v>
      </x:c>
      <x:c r="I25" s="38" t="n">
        <x:v>46305</x:v>
      </x:c>
      <x:c r="J25" s="38" t="n">
        <x:v>46323</x:v>
      </x:c>
      <x:c r="K25" s="37" t="str">
        <x:v>☐</x:v>
      </x:c>
      <x:c r="L25" s="37" t="str">
        <x:v>Not Started</x:v>
      </x:c>
      <x:c r="M25" s="39" t="n">
        <x:v>0</x:v>
      </x:c>
      <x:c r="N25" s="37" t="str">
        <x:v>Course outline</x:v>
      </x:c>
      <x:c r="O25" s="37" t="str">
        <x:v>Offer ready to build</x:v>
      </x:c>
      <x:c r="P25" s="37" t="str">
        <x:v>Base it on repeated audience pain points</x:v>
      </x:c>
      <x:c r="Q25" s="40" t="n">
        <x:f>IF(L25="Done","",J25-TODAY())</x:f>
        <x:v>199</x:v>
      </x:c>
      <x:c r="R25" s="37" t="str">
        <x:f>IF(L25="Done","Done",IF(Q25&lt;0,"Overdue",IF(Q25&lt;=7,"Due Soon","On Track")))</x:f>
        <x:v>On Track</x:v>
      </x:c>
    </x:row>
    <x:row r="26" ht="20" customHeight="1">
      <x:c r="A26" s="37" t="str">
        <x:v>DL-024</x:v>
      </x:c>
      <x:c r="B26" s="37" t="str">
        <x:v>Systemization</x:v>
      </x:c>
      <x:c r="C26" s="37" t="str">
        <x:v>November 2026</x:v>
      </x:c>
      <x:c r="D26" s="37" t="str">
        <x:v>Email</x:v>
      </x:c>
      <x:c r="E26" s="37" t="str">
        <x:v>Add abandoned cart and post-purchase flows</x:v>
      </x:c>
      <x:c r="F26" s="37" t="str">
        <x:v>High</x:v>
      </x:c>
      <x:c r="G26" s="37" t="str">
        <x:v>Email</x:v>
      </x:c>
      <x:c r="H26" s="37" t="str">
        <x:v>Founder</x:v>
      </x:c>
      <x:c r="I26" s="38" t="n">
        <x:v>46327</x:v>
      </x:c>
      <x:c r="J26" s="38" t="n">
        <x:v>46344</x:v>
      </x:c>
      <x:c r="K26" s="37" t="str">
        <x:v>☐</x:v>
      </x:c>
      <x:c r="L26" s="37" t="str">
        <x:v>Not Started</x:v>
      </x:c>
      <x:c r="M26" s="39" t="n">
        <x:v>0</x:v>
      </x:c>
      <x:c r="N26" s="37" t="str">
        <x:v>Advanced email automation</x:v>
      </x:c>
      <x:c r="O26" s="37" t="str">
        <x:v>Recovery and repeat sales</x:v>
      </x:c>
      <x:c r="P26" s="37" t="str">
        <x:v>Keep copy simple</x:v>
      </x:c>
      <x:c r="Q26" s="40" t="n">
        <x:f>IF(L26="Done","",J26-TODAY())</x:f>
        <x:v>220</x:v>
      </x:c>
      <x:c r="R26" s="37" t="str">
        <x:f>IF(L26="Done","Done",IF(Q26&lt;0,"Overdue",IF(Q26&lt;=7,"Due Soon","On Track")))</x:f>
        <x:v>On Track</x:v>
      </x:c>
    </x:row>
    <x:row r="27" ht="20" customHeight="1">
      <x:c r="A27" s="37" t="str">
        <x:v>DL-025</x:v>
      </x:c>
      <x:c r="B27" s="37" t="str">
        <x:v>Systemization</x:v>
      </x:c>
      <x:c r="C27" s="37" t="str">
        <x:v>November 2026</x:v>
      </x:c>
      <x:c r="D27" s="37" t="str">
        <x:v>SOP</x:v>
      </x:c>
      <x:c r="E27" s="37" t="str">
        <x:v>Document product creation, listings, content, and analytics workflows</x:v>
      </x:c>
      <x:c r="F27" s="37" t="str">
        <x:v>Medium</x:v>
      </x:c>
      <x:c r="G27" s="37" t="str">
        <x:v>Internal</x:v>
      </x:c>
      <x:c r="H27" s="37" t="str">
        <x:v>Founder</x:v>
      </x:c>
      <x:c r="I27" s="38" t="n">
        <x:v>46331</x:v>
      </x:c>
      <x:c r="J27" s="38" t="n">
        <x:v>46354</x:v>
      </x:c>
      <x:c r="K27" s="37" t="str">
        <x:v>☐</x:v>
      </x:c>
      <x:c r="L27" s="37" t="str">
        <x:v>Not Started</x:v>
      </x:c>
      <x:c r="M27" s="39" t="n">
        <x:v>0</x:v>
      </x:c>
      <x:c r="N27" s="37" t="str">
        <x:v>SOP folder</x:v>
      </x:c>
      <x:c r="O27" s="37" t="str">
        <x:v>Time saved</x:v>
      </x:c>
      <x:c r="P27" s="37" t="str">
        <x:v>Makes delegation easier</x:v>
      </x:c>
      <x:c r="Q27" s="40" t="n">
        <x:f>IF(L27="Done","",J27-TODAY())</x:f>
        <x:v>230</x:v>
      </x:c>
      <x:c r="R27" s="37" t="str">
        <x:f>IF(L27="Done","Done",IF(Q27&lt;0,"Overdue",IF(Q27&lt;=7,"Due Soon","On Track")))</x:f>
        <x:v>On Track</x:v>
      </x:c>
    </x:row>
    <x:row r="28" ht="20" customHeight="1">
      <x:c r="A28" s="37" t="str">
        <x:v>DL-026</x:v>
      </x:c>
      <x:c r="B28" s="37" t="str">
        <x:v>Authority</x:v>
      </x:c>
      <x:c r="C28" s="37" t="str">
        <x:v>December 2026</x:v>
      </x:c>
      <x:c r="D28" s="37" t="str">
        <x:v>Launch</x:v>
      </x:c>
      <x:c r="E28" s="37" t="str">
        <x:v>Launch flagship collection or annual planner</x:v>
      </x:c>
      <x:c r="F28" s="37" t="str">
        <x:v>High</x:v>
      </x:c>
      <x:c r="G28" s="37" t="str">
        <x:v>Website, Etsy</x:v>
      </x:c>
      <x:c r="H28" s="37" t="str">
        <x:v>Founder</x:v>
      </x:c>
      <x:c r="I28" s="38" t="n">
        <x:v>46357</x:v>
      </x:c>
      <x:c r="J28" s="38" t="n">
        <x:v>46371</x:v>
      </x:c>
      <x:c r="K28" s="37" t="str">
        <x:v>☐</x:v>
      </x:c>
      <x:c r="L28" s="37" t="str">
        <x:v>Not Started</x:v>
      </x:c>
      <x:c r="M28" s="39" t="n">
        <x:v>0</x:v>
      </x:c>
      <x:c r="N28" s="37" t="str">
        <x:v>Flagship collection</x:v>
      </x:c>
      <x:c r="O28" s="37" t="str">
        <x:v>Launch revenue</x:v>
      </x:c>
      <x:c r="P28" s="37" t="str">
        <x:v>Promote heavily in Q4</x:v>
      </x:c>
      <x:c r="Q28" s="40" t="n">
        <x:f>IF(L28="Done","",J28-TODAY())</x:f>
        <x:v>247</x:v>
      </x:c>
      <x:c r="R28" s="37" t="str">
        <x:f>IF(L28="Done","Done",IF(Q28&lt;0,"Overdue",IF(Q28&lt;=7,"Due Soon","On Track")))</x:f>
        <x:v>On Track</x:v>
      </x:c>
    </x:row>
    <x:row r="29" ht="20" customHeight="1">
      <x:c r="A29" s="37" t="str">
        <x:v>DL-027</x:v>
      </x:c>
      <x:c r="B29" s="37" t="str">
        <x:v>Authority</x:v>
      </x:c>
      <x:c r="C29" s="37" t="str">
        <x:v>January 2027</x:v>
      </x:c>
      <x:c r="D29" s="37" t="str">
        <x:v>Proof</x:v>
      </x:c>
      <x:c r="E29" s="37" t="str">
        <x:v>Collect testimonials, screenshots, customer wins, and reviews</x:v>
      </x:c>
      <x:c r="F29" s="37" t="str">
        <x:v>High</x:v>
      </x:c>
      <x:c r="G29" s="37" t="str">
        <x:v>Website, Social</x:v>
      </x:c>
      <x:c r="H29" s="37" t="str">
        <x:v>Founder</x:v>
      </x:c>
      <x:c r="I29" s="38" t="n">
        <x:v>46388</x:v>
      </x:c>
      <x:c r="J29" s="38" t="n">
        <x:v>46412</x:v>
      </x:c>
      <x:c r="K29" s="37" t="str">
        <x:v>☐</x:v>
      </x:c>
      <x:c r="L29" s="37" t="str">
        <x:v>Not Started</x:v>
      </x:c>
      <x:c r="M29" s="39" t="n">
        <x:v>0</x:v>
      </x:c>
      <x:c r="N29" s="37" t="str">
        <x:v>Testimonial library</x:v>
      </x:c>
      <x:c r="O29" s="37" t="str">
        <x:v>Trust lift</x:v>
      </x:c>
      <x:c r="P29" s="37" t="str">
        <x:v>Use across store and social</x:v>
      </x:c>
      <x:c r="Q29" s="40" t="n">
        <x:f>IF(L29="Done","",J29-TODAY())</x:f>
        <x:v>288</x:v>
      </x:c>
      <x:c r="R29" s="37" t="str">
        <x:f>IF(L29="Done","Done",IF(Q29&lt;0,"Overdue",IF(Q29&lt;=7,"Due Soon","On Track")))</x:f>
        <x:v>On Track</x:v>
      </x:c>
    </x:row>
    <x:row r="30" ht="20" customHeight="1">
      <x:c r="A30" s="37" t="str">
        <x:v>DL-028</x:v>
      </x:c>
      <x:c r="B30" s="37" t="str">
        <x:v>Authority</x:v>
      </x:c>
      <x:c r="C30" s="37" t="str">
        <x:v>February 2027</x:v>
      </x:c>
      <x:c r="D30" s="37" t="str">
        <x:v>Community</x:v>
      </x:c>
      <x:c r="E30" s="37" t="str">
        <x:v>Test paid challenge, planner club, or premium community</x:v>
      </x:c>
      <x:c r="F30" s="37" t="str">
        <x:v>Medium</x:v>
      </x:c>
      <x:c r="G30" s="37" t="str">
        <x:v>Website, FB Group</x:v>
      </x:c>
      <x:c r="H30" s="37" t="str">
        <x:v>Founder</x:v>
      </x:c>
      <x:c r="I30" s="38" t="n">
        <x:v>46419</x:v>
      </x:c>
      <x:c r="J30" s="38" t="n">
        <x:v>46438</x:v>
      </x:c>
      <x:c r="K30" s="37" t="str">
        <x:v>☐</x:v>
      </x:c>
      <x:c r="L30" s="37" t="str">
        <x:v>Not Started</x:v>
      </x:c>
      <x:c r="M30" s="39" t="n">
        <x:v>0</x:v>
      </x:c>
      <x:c r="N30" s="37" t="str">
        <x:v>Monetization test</x:v>
      </x:c>
      <x:c r="O30" s="37" t="str">
        <x:v>Recurring revenue signal</x:v>
      </x:c>
      <x:c r="P30" s="37" t="str">
        <x:v>Start small</x:v>
      </x:c>
      <x:c r="Q30" s="40" t="n">
        <x:f>IF(L30="Done","",J30-TODAY())</x:f>
        <x:v>314</x:v>
      </x:c>
      <x:c r="R30" s="37" t="str">
        <x:f>IF(L30="Done","Done",IF(Q30&lt;0,"Overdue",IF(Q30&lt;=7,"Due Soon","On Track")))</x:f>
        <x:v>On Track</x:v>
      </x:c>
    </x:row>
    <x:row r="31" ht="20" customHeight="1">
      <x:c r="A31" s="37" t="str">
        <x:v>DL-029</x:v>
      </x:c>
      <x:c r="B31" s="37" t="str">
        <x:v>Authority</x:v>
      </x:c>
      <x:c r="C31" s="37" t="str">
        <x:v>March 2027</x:v>
      </x:c>
      <x:c r="D31" s="37" t="str">
        <x:v>Authority</x:v>
      </x:c>
      <x:c r="E31" s="37" t="str">
        <x:v>Publish evergreen authority content and systemize monthly launches</x:v>
      </x:c>
      <x:c r="F31" s="37" t="str">
        <x:v>Medium</x:v>
      </x:c>
      <x:c r="G31" s="37" t="str">
        <x:v>YouTube, IG, Website</x:v>
      </x:c>
      <x:c r="H31" s="37" t="str">
        <x:v>Founder</x:v>
      </x:c>
      <x:c r="I31" s="38" t="n">
        <x:v>46447</x:v>
      </x:c>
      <x:c r="J31" s="38" t="n">
        <x:v>46471</x:v>
      </x:c>
      <x:c r="K31" s="37" t="str">
        <x:v>☐</x:v>
      </x:c>
      <x:c r="L31" s="37" t="str">
        <x:v>Not Started</x:v>
      </x:c>
      <x:c r="M31" s="39" t="n">
        <x:v>0</x:v>
      </x:c>
      <x:c r="N31" s="37" t="str">
        <x:v>Authority content bank</x:v>
      </x:c>
      <x:c r="O31" s="37" t="str">
        <x:v>Higher trust</x:v>
      </x:c>
      <x:c r="P31" s="37" t="str">
        <x:v>Document launch cadence</x:v>
      </x:c>
      <x:c r="Q31" s="40" t="n">
        <x:f>IF(L31="Done","",J31-TODAY())</x:f>
        <x:v>347</x:v>
      </x:c>
      <x:c r="R31" s="37" t="str">
        <x:f>IF(L31="Done","Done",IF(Q31&lt;0,"Overdue",IF(Q31&lt;=7,"Due Soon","On Track")))</x:f>
        <x:v>On Track</x:v>
      </x:c>
    </x:row>
    <x:row r="32" ht="20" customHeight="1">
      <x:c r="A32" s="37" t="str">
        <x:v>DL-030</x:v>
      </x:c>
      <x:c r="B32" s="37" t="str">
        <x:v>Authority</x:v>
      </x:c>
      <x:c r="C32" s="37" t="str">
        <x:v>April 2027</x:v>
      </x:c>
      <x:c r="D32" s="37" t="str">
        <x:v>Scale</x:v>
      </x:c>
      <x:c r="E32" s="37" t="str">
        <x:v>Prepare templates, delegation list, and outsourcing plan</x:v>
      </x:c>
      <x:c r="F32" s="37" t="str">
        <x:v>Medium</x:v>
      </x:c>
      <x:c r="G32" s="37" t="str">
        <x:v>Internal</x:v>
      </x:c>
      <x:c r="H32" s="37" t="str">
        <x:v>Founder</x:v>
      </x:c>
      <x:c r="I32" s="38" t="n">
        <x:v>46478</x:v>
      </x:c>
      <x:c r="J32" s="38" t="n">
        <x:v>46497</x:v>
      </x:c>
      <x:c r="K32" s="37" t="str">
        <x:v>☐</x:v>
      </x:c>
      <x:c r="L32" s="37" t="str">
        <x:v>Not Started</x:v>
      </x:c>
      <x:c r="M32" s="39" t="n">
        <x:v>0</x:v>
      </x:c>
      <x:c r="N32" s="37" t="str">
        <x:v>Scale plan</x:v>
      </x:c>
      <x:c r="O32" s="37" t="str">
        <x:v>Operational efficiency</x:v>
      </x:c>
      <x:c r="P32" s="37" t="str">
        <x:v>Prepare for next growth cycle</x:v>
      </x:c>
      <x:c r="Q32" s="40" t="n">
        <x:f>IF(L32="Done","",J32-TODAY())</x:f>
        <x:v>373</x:v>
      </x:c>
      <x:c r="R32" s="37" t="str">
        <x:f>IF(L32="Done","Done",IF(Q32&lt;0,"Overdue",IF(Q32&lt;=7,"Due Soon","On Track")))</x:f>
        <x:v>On Track</x:v>
      </x:c>
    </x:row>
    <x:row r="33" ht="20" customHeight="1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</x:row>
    <x:row r="34" ht="20" customHeight="1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</x:row>
    <x:row r="35" ht="20" customHeight="1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</x:row>
    <x:row r="36" ht="20" customHeight="1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</x:row>
    <x:row r="37" ht="20" customHeight="1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</x:row>
    <x:row r="38" ht="20" customHeight="1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</x:row>
    <x:row r="39" ht="20" customHeight="1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</x:row>
    <x:row r="40" ht="20" customHeight="1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</x:row>
  </x:sheetData>
  <x:mergeCells>
    <x:mergeCell ref="A1:R1"/>
  </x:mergeCells>
  <x:conditionalFormatting sqref="F3:F32">
    <x:cfRule type="expression" dxfId="6" priority="1">
      <x:formula>F3="High"</x:formula>
    </x:cfRule>
    <x:cfRule type="expression" dxfId="7" priority="2">
      <x:formula>F3="Medium"</x:formula>
    </x:cfRule>
    <x:cfRule type="expression" dxfId="8" priority="3">
      <x:formula>F3="Low"</x:formula>
    </x:cfRule>
  </x:conditionalFormatting>
  <x:conditionalFormatting sqref="L3:L32">
    <x:cfRule type="expression" dxfId="9" priority="4">
      <x:formula>L3="Done"</x:formula>
    </x:cfRule>
    <x:cfRule type="expression" dxfId="10" priority="5">
      <x:formula>L3="In Progress"</x:formula>
    </x:cfRule>
    <x:cfRule type="expression" dxfId="11" priority="6">
      <x:formula>L3="Waiting"</x:formula>
    </x:cfRule>
    <x:cfRule type="expression" dxfId="12" priority="7">
      <x:formula>L3="Not Started"</x:formula>
    </x:cfRule>
  </x:conditionalFormatting>
  <x:conditionalFormatting sqref="M3:M32">
    <x:cfRule type="dataBar" priority="8">
      <x:dataBar>
        <x:cfvo type="min"/>
        <x:cfvo type="max"/>
        <x:color rgb="5B9BD5"/>
      </x:dataBar>
    </x:cfRule>
  </x:conditionalFormatting>
  <x:conditionalFormatting sqref="R3:R32">
    <x:cfRule type="expression" dxfId="13" priority="9">
      <x:formula>R3="Overdue"</x:formula>
    </x:cfRule>
    <x:cfRule type="expression" dxfId="14" priority="10">
      <x:formula>R3="Due Soon"</x:formula>
    </x:cfRule>
    <x:cfRule type="expression" dxfId="15" priority="11">
      <x:formula>R3="On Track"</x:formula>
    </x:cfRule>
    <x:cfRule type="expression" dxfId="16" priority="12">
      <x:formula>R3="Done"</x:formula>
    </x:cfRule>
  </x:conditionalFormatting>
  <x:dataValidations count="2">
    <x:dataValidation type="list" sqref="K3:K32">
      <x:formula1>"☐,☑"</x:formula1>
    </x:dataValidation>
    <x:dataValidation type="list" sqref="L3:L32">
      <x:formula1>"Not Started,In Progress,Waiting,Done"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1bbf45e5a9a47cf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2" hidden="0" customWidth="1"/>
    <x:col min="16" max="16" width="20" hidden="0" customWidth="1"/>
    <x:col min="18" max="18" width="18" hidden="0" customWidth="1"/>
    <x:col min="19" max="19" width="14" hidden="0" customWidth="1"/>
  </x:cols>
  <x:sheetData>
    <x:row r="1">
      <x:c r="A1" s="28" t="str">
        <x:v>Budget &amp; Revenue Tracker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8"/>
      <x:c r="N1" s="28"/>
      <x:c r="O1" s="28"/>
      <x:c r="P1" s="28"/>
    </x:row>
    <x:row r="2">
      <x:c r="A2" s="45" t="str">
        <x:v>Month</x:v>
      </x:c>
      <x:c r="B2" s="45" t="str">
        <x:v>Product Dev</x:v>
      </x:c>
      <x:c r="C2" s="45" t="str">
        <x:v>Software / Tools</x:v>
      </x:c>
      <x:c r="D2" s="45" t="str">
        <x:v>Ads</x:v>
      </x:c>
      <x:c r="E2" s="45" t="str">
        <x:v>Freelancers</x:v>
      </x:c>
      <x:c r="F2" s="45" t="str">
        <x:v>Education</x:v>
      </x:c>
      <x:c r="G2" s="45" t="str">
        <x:v>Misc</x:v>
      </x:c>
      <x:c r="H2" s="45" t="str">
        <x:v>Total Expense</x:v>
      </x:c>
      <x:c r="I2" s="45" t="str">
        <x:v>Website Revenue</x:v>
      </x:c>
      <x:c r="J2" s="45" t="str">
        <x:v>Etsy Revenue</x:v>
      </x:c>
      <x:c r="K2" s="45" t="str">
        <x:v>Course Revenue</x:v>
      </x:c>
      <x:c r="L2" s="45" t="str">
        <x:v>Other Revenue</x:v>
      </x:c>
      <x:c r="M2" s="45" t="str">
        <x:v>Total Revenue</x:v>
      </x:c>
      <x:c r="N2" s="45" t="str">
        <x:v>Profit / Loss</x:v>
      </x:c>
      <x:c r="O2" s="45" t="str">
        <x:v>Profit Margin %</x:v>
      </x:c>
      <x:c r="P2" s="45" t="str">
        <x:v>Notes</x:v>
      </x:c>
      <x:c r="R2" s="48" t="str">
        <x:v>Summary</x:v>
      </x:c>
      <x:c r="S2" s="48"/>
      <x:c r="T2" s="48"/>
      <x:c r="U2" s="48"/>
    </x:row>
    <x:row r="3">
      <x:c r="A3" s="14" t="str">
        <x:v>May 2026</x:v>
      </x:c>
      <x:c r="B3" s="53" t="n">
        <x:v>0</x:v>
      </x:c>
      <x:c r="C3" s="53" t="n">
        <x:v>0</x:v>
      </x:c>
      <x:c r="D3" s="53" t="n">
        <x:v>0</x:v>
      </x:c>
      <x:c r="E3" s="53" t="n">
        <x:v>0</x:v>
      </x:c>
      <x:c r="F3" s="53" t="n">
        <x:v>0</x:v>
      </x:c>
      <x:c r="G3" s="53" t="n">
        <x:v>0</x:v>
      </x:c>
      <x:c r="H3" s="53" t="n">
        <x:f>SUM(B3:G3)</x:f>
        <x:v>0</x:v>
      </x:c>
      <x:c r="I3" s="53" t="n">
        <x:v>0</x:v>
      </x:c>
      <x:c r="J3" s="53" t="n">
        <x:v>0</x:v>
      </x:c>
      <x:c r="K3" s="53" t="n">
        <x:v>0</x:v>
      </x:c>
      <x:c r="L3" s="53" t="n">
        <x:v>0</x:v>
      </x:c>
      <x:c r="M3" s="53" t="n">
        <x:f>SUM(I3:L3)</x:f>
        <x:v>0</x:v>
      </x:c>
      <x:c r="N3" s="53" t="n">
        <x:f>M3-H3</x:f>
        <x:v>0</x:v>
      </x:c>
      <x:c r="O3" s="54" t="n">
        <x:f>IF(M3=0,0,N3/M3)</x:f>
        <x:v>0</x:v>
      </x:c>
      <x:c r="P3" s="14" t="str"/>
      <x:c r="R3" s="50" t="str">
        <x:v>Total Expenses</x:v>
      </x:c>
      <x:c r="S3" s="51" t="n">
        <x:f>SUM(H3:H14)</x:f>
        <x:v>0</x:v>
      </x:c>
      <x:c r="T3"/>
      <x:c r="U3"/>
    </x:row>
    <x:row r="4">
      <x:c r="A4" s="14" t="str">
        <x:v>June 2026</x:v>
      </x:c>
      <x:c r="B4" s="53" t="n">
        <x:v>0</x:v>
      </x:c>
      <x:c r="C4" s="53" t="n">
        <x:v>0</x:v>
      </x:c>
      <x:c r="D4" s="53" t="n">
        <x:v>0</x:v>
      </x:c>
      <x:c r="E4" s="53" t="n">
        <x:v>0</x:v>
      </x:c>
      <x:c r="F4" s="53" t="n">
        <x:v>0</x:v>
      </x:c>
      <x:c r="G4" s="53" t="n">
        <x:v>0</x:v>
      </x:c>
      <x:c r="H4" s="53" t="n">
        <x:f>SUM(B4:G4)</x:f>
        <x:v>0</x:v>
      </x:c>
      <x:c r="I4" s="53" t="n">
        <x:v>0</x:v>
      </x:c>
      <x:c r="J4" s="53" t="n">
        <x:v>0</x:v>
      </x:c>
      <x:c r="K4" s="53" t="n">
        <x:v>0</x:v>
      </x:c>
      <x:c r="L4" s="53" t="n">
        <x:v>0</x:v>
      </x:c>
      <x:c r="M4" s="53" t="n">
        <x:f>SUM(I4:L4)</x:f>
        <x:v>0</x:v>
      </x:c>
      <x:c r="N4" s="53" t="n">
        <x:f>M4-H4</x:f>
        <x:v>0</x:v>
      </x:c>
      <x:c r="O4" s="54" t="n">
        <x:f>IF(M4=0,0,N4/M4)</x:f>
        <x:v>0</x:v>
      </x:c>
      <x:c r="P4" s="14" t="str"/>
      <x:c r="R4" s="50" t="str">
        <x:v>Total Revenue</x:v>
      </x:c>
      <x:c r="S4" s="51" t="n">
        <x:f>SUM(M3:M14)</x:f>
        <x:v>0</x:v>
      </x:c>
      <x:c r="T4"/>
      <x:c r="U4"/>
    </x:row>
    <x:row r="5">
      <x:c r="A5" s="14" t="str">
        <x:v>July 2026</x:v>
      </x:c>
      <x:c r="B5" s="53" t="n">
        <x:v>0</x:v>
      </x:c>
      <x:c r="C5" s="53" t="n">
        <x:v>0</x:v>
      </x:c>
      <x:c r="D5" s="53" t="n">
        <x:v>0</x:v>
      </x:c>
      <x:c r="E5" s="53" t="n">
        <x:v>0</x:v>
      </x:c>
      <x:c r="F5" s="53" t="n">
        <x:v>0</x:v>
      </x:c>
      <x:c r="G5" s="53" t="n">
        <x:v>0</x:v>
      </x:c>
      <x:c r="H5" s="53" t="n">
        <x:f>SUM(B5:G5)</x:f>
        <x:v>0</x:v>
      </x:c>
      <x:c r="I5" s="53" t="n">
        <x:v>0</x:v>
      </x:c>
      <x:c r="J5" s="53" t="n">
        <x:v>0</x:v>
      </x:c>
      <x:c r="K5" s="53" t="n">
        <x:v>0</x:v>
      </x:c>
      <x:c r="L5" s="53" t="n">
        <x:v>0</x:v>
      </x:c>
      <x:c r="M5" s="53" t="n">
        <x:f>SUM(I5:L5)</x:f>
        <x:v>0</x:v>
      </x:c>
      <x:c r="N5" s="53" t="n">
        <x:f>M5-H5</x:f>
        <x:v>0</x:v>
      </x:c>
      <x:c r="O5" s="54" t="n">
        <x:f>IF(M5=0,0,N5/M5)</x:f>
        <x:v>0</x:v>
      </x:c>
      <x:c r="P5" s="14" t="str"/>
      <x:c r="R5" s="50" t="str">
        <x:v>Total Profit / Loss</x:v>
      </x:c>
      <x:c r="S5" s="51" t="n">
        <x:f>SUM(N3:N14)</x:f>
        <x:v>0</x:v>
      </x:c>
      <x:c r="T5"/>
      <x:c r="U5"/>
    </x:row>
    <x:row r="6">
      <x:c r="A6" s="14" t="str">
        <x:v>August 2026</x:v>
      </x:c>
      <x:c r="B6" s="53" t="n">
        <x:v>0</x:v>
      </x:c>
      <x:c r="C6" s="53" t="n">
        <x:v>0</x:v>
      </x:c>
      <x:c r="D6" s="53" t="n">
        <x:v>0</x:v>
      </x:c>
      <x:c r="E6" s="53" t="n">
        <x:v>0</x:v>
      </x:c>
      <x:c r="F6" s="53" t="n">
        <x:v>0</x:v>
      </x:c>
      <x:c r="G6" s="53" t="n">
        <x:v>0</x:v>
      </x:c>
      <x:c r="H6" s="53" t="n">
        <x:f>SUM(B6:G6)</x:f>
        <x:v>0</x:v>
      </x:c>
      <x:c r="I6" s="53" t="n">
        <x:v>0</x:v>
      </x:c>
      <x:c r="J6" s="53" t="n">
        <x:v>0</x:v>
      </x:c>
      <x:c r="K6" s="53" t="n">
        <x:v>0</x:v>
      </x:c>
      <x:c r="L6" s="53" t="n">
        <x:v>0</x:v>
      </x:c>
      <x:c r="M6" s="53" t="n">
        <x:f>SUM(I6:L6)</x:f>
        <x:v>0</x:v>
      </x:c>
      <x:c r="N6" s="53" t="n">
        <x:f>M6-H6</x:f>
        <x:v>0</x:v>
      </x:c>
      <x:c r="O6" s="54" t="n">
        <x:f>IF(M6=0,0,N6/M6)</x:f>
        <x:v>0</x:v>
      </x:c>
      <x:c r="P6" s="14" t="str"/>
      <x:c r="R6" s="50" t="str">
        <x:v>Average Profit Margin</x:v>
      </x:c>
      <x:c r="S6" s="52" t="n">
        <x:f>IFERROR(AVERAGE(O3:O14),0)</x:f>
        <x:v>0</x:v>
      </x:c>
      <x:c r="T6"/>
      <x:c r="U6"/>
    </x:row>
    <x:row r="7">
      <x:c r="A7" s="14" t="str">
        <x:v>September 2026</x:v>
      </x:c>
      <x:c r="B7" s="53" t="n">
        <x:v>0</x:v>
      </x:c>
      <x:c r="C7" s="53" t="n">
        <x:v>0</x:v>
      </x:c>
      <x:c r="D7" s="53" t="n">
        <x:v>0</x:v>
      </x:c>
      <x:c r="E7" s="53" t="n">
        <x:v>0</x:v>
      </x:c>
      <x:c r="F7" s="53" t="n">
        <x:v>0</x:v>
      </x:c>
      <x:c r="G7" s="53" t="n">
        <x:v>0</x:v>
      </x:c>
      <x:c r="H7" s="53" t="n">
        <x:f>SUM(B7:G7)</x:f>
        <x:v>0</x:v>
      </x:c>
      <x:c r="I7" s="53" t="n">
        <x:v>0</x:v>
      </x:c>
      <x:c r="J7" s="53" t="n">
        <x:v>0</x:v>
      </x:c>
      <x:c r="K7" s="53" t="n">
        <x:v>0</x:v>
      </x:c>
      <x:c r="L7" s="53" t="n">
        <x:v>0</x:v>
      </x:c>
      <x:c r="M7" s="53" t="n">
        <x:f>SUM(I7:L7)</x:f>
        <x:v>0</x:v>
      </x:c>
      <x:c r="N7" s="53" t="n">
        <x:f>M7-H7</x:f>
        <x:v>0</x:v>
      </x:c>
      <x:c r="O7" s="54" t="n">
        <x:f>IF(M7=0,0,N7/M7)</x:f>
        <x:v>0</x:v>
      </x:c>
      <x:c r="P7" s="14" t="str"/>
      <x:c r="R7" s="50" t="str">
        <x:v>Highest Revenue Month</x:v>
      </x:c>
      <x:c r="S7" s="51" t="str">
        <x:f>INDEX(A3:A14,MATCH(MAX(M3:M14),M3:M14,0))</x:f>
        <x:v>May 2026</x:v>
      </x:c>
      <x:c r="T7"/>
      <x:c r="U7"/>
    </x:row>
    <x:row r="8">
      <x:c r="A8" s="14" t="str">
        <x:v>October 2026</x:v>
      </x:c>
      <x:c r="B8" s="53" t="n">
        <x:v>0</x:v>
      </x:c>
      <x:c r="C8" s="53" t="n">
        <x:v>0</x:v>
      </x:c>
      <x:c r="D8" s="53" t="n">
        <x:v>0</x:v>
      </x:c>
      <x:c r="E8" s="53" t="n">
        <x:v>0</x:v>
      </x:c>
      <x:c r="F8" s="53" t="n">
        <x:v>0</x:v>
      </x:c>
      <x:c r="G8" s="53" t="n">
        <x:v>0</x:v>
      </x:c>
      <x:c r="H8" s="53" t="n">
        <x:f>SUM(B8:G8)</x:f>
        <x:v>0</x:v>
      </x:c>
      <x:c r="I8" s="53" t="n">
        <x:v>0</x:v>
      </x:c>
      <x:c r="J8" s="53" t="n">
        <x:v>0</x:v>
      </x:c>
      <x:c r="K8" s="53" t="n">
        <x:v>0</x:v>
      </x:c>
      <x:c r="L8" s="53" t="n">
        <x:v>0</x:v>
      </x:c>
      <x:c r="M8" s="53" t="n">
        <x:f>SUM(I8:L8)</x:f>
        <x:v>0</x:v>
      </x:c>
      <x:c r="N8" s="53" t="n">
        <x:f>M8-H8</x:f>
        <x:v>0</x:v>
      </x:c>
      <x:c r="O8" s="54" t="n">
        <x:f>IF(M8=0,0,N8/M8)</x:f>
        <x:v>0</x:v>
      </x:c>
      <x:c r="P8" s="14" t="str"/>
      <x:c r="R8" s="50" t="str">
        <x:v>Best Revenue Value</x:v>
      </x:c>
      <x:c r="S8" s="51" t="n">
        <x:f>MAX(M3:M14)</x:f>
        <x:v>0</x:v>
      </x:c>
      <x:c r="T8"/>
      <x:c r="U8"/>
    </x:row>
    <x:row r="9">
      <x:c r="A9" s="14" t="str">
        <x:v>November 2026</x:v>
      </x:c>
      <x:c r="B9" s="53" t="n">
        <x:v>0</x:v>
      </x:c>
      <x:c r="C9" s="53" t="n">
        <x:v>0</x:v>
      </x:c>
      <x:c r="D9" s="53" t="n">
        <x:v>0</x:v>
      </x:c>
      <x:c r="E9" s="53" t="n">
        <x:v>0</x:v>
      </x:c>
      <x:c r="F9" s="53" t="n">
        <x:v>0</x:v>
      </x:c>
      <x:c r="G9" s="53" t="n">
        <x:v>0</x:v>
      </x:c>
      <x:c r="H9" s="53" t="n">
        <x:f>SUM(B9:G9)</x:f>
        <x:v>0</x:v>
      </x:c>
      <x:c r="I9" s="53" t="n">
        <x:v>0</x:v>
      </x:c>
      <x:c r="J9" s="53" t="n">
        <x:v>0</x:v>
      </x:c>
      <x:c r="K9" s="53" t="n">
        <x:v>0</x:v>
      </x:c>
      <x:c r="L9" s="53" t="n">
        <x:v>0</x:v>
      </x:c>
      <x:c r="M9" s="53" t="n">
        <x:f>SUM(I9:L9)</x:f>
        <x:v>0</x:v>
      </x:c>
      <x:c r="N9" s="53" t="n">
        <x:f>M9-H9</x:f>
        <x:v>0</x:v>
      </x:c>
      <x:c r="O9" s="54" t="n">
        <x:f>IF(M9=0,0,N9/M9)</x:f>
        <x:v>0</x:v>
      </x:c>
      <x:c r="P9" s="14" t="str"/>
    </x:row>
    <x:row r="10">
      <x:c r="A10" s="14" t="str">
        <x:v>December 2026</x:v>
      </x:c>
      <x:c r="B10" s="53" t="n">
        <x:v>0</x:v>
      </x:c>
      <x:c r="C10" s="53" t="n">
        <x:v>0</x:v>
      </x:c>
      <x:c r="D10" s="53" t="n">
        <x:v>0</x:v>
      </x:c>
      <x:c r="E10" s="53" t="n">
        <x:v>0</x:v>
      </x:c>
      <x:c r="F10" s="53" t="n">
        <x:v>0</x:v>
      </x:c>
      <x:c r="G10" s="53" t="n">
        <x:v>0</x:v>
      </x:c>
      <x:c r="H10" s="53" t="n">
        <x:f>SUM(B10:G10)</x:f>
        <x:v>0</x:v>
      </x:c>
      <x:c r="I10" s="53" t="n">
        <x:v>0</x:v>
      </x:c>
      <x:c r="J10" s="53" t="n">
        <x:v>0</x:v>
      </x:c>
      <x:c r="K10" s="53" t="n">
        <x:v>0</x:v>
      </x:c>
      <x:c r="L10" s="53" t="n">
        <x:v>0</x:v>
      </x:c>
      <x:c r="M10" s="53" t="n">
        <x:f>SUM(I10:L10)</x:f>
        <x:v>0</x:v>
      </x:c>
      <x:c r="N10" s="53" t="n">
        <x:f>M10-H10</x:f>
        <x:v>0</x:v>
      </x:c>
      <x:c r="O10" s="54" t="n">
        <x:f>IF(M10=0,0,N10/M10)</x:f>
        <x:v>0</x:v>
      </x:c>
      <x:c r="P10" s="14" t="str"/>
    </x:row>
    <x:row r="11">
      <x:c r="A11" s="14" t="str">
        <x:v>January 2027</x:v>
      </x:c>
      <x:c r="B11" s="53" t="n">
        <x:v>0</x:v>
      </x:c>
      <x:c r="C11" s="53" t="n">
        <x:v>0</x:v>
      </x:c>
      <x:c r="D11" s="53" t="n">
        <x:v>0</x:v>
      </x:c>
      <x:c r="E11" s="53" t="n">
        <x:v>0</x:v>
      </x:c>
      <x:c r="F11" s="53" t="n">
        <x:v>0</x:v>
      </x:c>
      <x:c r="G11" s="53" t="n">
        <x:v>0</x:v>
      </x:c>
      <x:c r="H11" s="53" t="n">
        <x:f>SUM(B11:G11)</x:f>
        <x:v>0</x:v>
      </x:c>
      <x:c r="I11" s="53" t="n">
        <x:v>0</x:v>
      </x:c>
      <x:c r="J11" s="53" t="n">
        <x:v>0</x:v>
      </x:c>
      <x:c r="K11" s="53" t="n">
        <x:v>0</x:v>
      </x:c>
      <x:c r="L11" s="53" t="n">
        <x:v>0</x:v>
      </x:c>
      <x:c r="M11" s="53" t="n">
        <x:f>SUM(I11:L11)</x:f>
        <x:v>0</x:v>
      </x:c>
      <x:c r="N11" s="53" t="n">
        <x:f>M11-H11</x:f>
        <x:v>0</x:v>
      </x:c>
      <x:c r="O11" s="54" t="n">
        <x:f>IF(M11=0,0,N11/M11)</x:f>
        <x:v>0</x:v>
      </x:c>
      <x:c r="P11" s="14" t="str"/>
    </x:row>
    <x:row r="12">
      <x:c r="A12" s="14" t="str">
        <x:v>February 2027</x:v>
      </x:c>
      <x:c r="B12" s="53" t="n">
        <x:v>0</x:v>
      </x:c>
      <x:c r="C12" s="53" t="n">
        <x:v>0</x:v>
      </x:c>
      <x:c r="D12" s="53" t="n">
        <x:v>0</x:v>
      </x:c>
      <x:c r="E12" s="53" t="n">
        <x:v>0</x:v>
      </x:c>
      <x:c r="F12" s="53" t="n">
        <x:v>0</x:v>
      </x:c>
      <x:c r="G12" s="53" t="n">
        <x:v>0</x:v>
      </x:c>
      <x:c r="H12" s="53" t="n">
        <x:f>SUM(B12:G12)</x:f>
        <x:v>0</x:v>
      </x:c>
      <x:c r="I12" s="53" t="n">
        <x:v>0</x:v>
      </x:c>
      <x:c r="J12" s="53" t="n">
        <x:v>0</x:v>
      </x:c>
      <x:c r="K12" s="53" t="n">
        <x:v>0</x:v>
      </x:c>
      <x:c r="L12" s="53" t="n">
        <x:v>0</x:v>
      </x:c>
      <x:c r="M12" s="53" t="n">
        <x:f>SUM(I12:L12)</x:f>
        <x:v>0</x:v>
      </x:c>
      <x:c r="N12" s="53" t="n">
        <x:f>M12-H12</x:f>
        <x:v>0</x:v>
      </x:c>
      <x:c r="O12" s="54" t="n">
        <x:f>IF(M12=0,0,N12/M12)</x:f>
        <x:v>0</x:v>
      </x:c>
      <x:c r="P12" s="14" t="str"/>
    </x:row>
    <x:row r="13">
      <x:c r="A13" s="14" t="str">
        <x:v>March 2027</x:v>
      </x:c>
      <x:c r="B13" s="53" t="n">
        <x:v>0</x:v>
      </x:c>
      <x:c r="C13" s="53" t="n">
        <x:v>0</x:v>
      </x:c>
      <x:c r="D13" s="53" t="n">
        <x:v>0</x:v>
      </x:c>
      <x:c r="E13" s="53" t="n">
        <x:v>0</x:v>
      </x:c>
      <x:c r="F13" s="53" t="n">
        <x:v>0</x:v>
      </x:c>
      <x:c r="G13" s="53" t="n">
        <x:v>0</x:v>
      </x:c>
      <x:c r="H13" s="53" t="n">
        <x:f>SUM(B13:G13)</x:f>
        <x:v>0</x:v>
      </x:c>
      <x:c r="I13" s="53" t="n">
        <x:v>0</x:v>
      </x:c>
      <x:c r="J13" s="53" t="n">
        <x:v>0</x:v>
      </x:c>
      <x:c r="K13" s="53" t="n">
        <x:v>0</x:v>
      </x:c>
      <x:c r="L13" s="53" t="n">
        <x:v>0</x:v>
      </x:c>
      <x:c r="M13" s="53" t="n">
        <x:f>SUM(I13:L13)</x:f>
        <x:v>0</x:v>
      </x:c>
      <x:c r="N13" s="53" t="n">
        <x:f>M13-H13</x:f>
        <x:v>0</x:v>
      </x:c>
      <x:c r="O13" s="54" t="n">
        <x:f>IF(M13=0,0,N13/M13)</x:f>
        <x:v>0</x:v>
      </x:c>
      <x:c r="P13" s="14" t="str"/>
    </x:row>
    <x:row r="14">
      <x:c r="A14" s="14" t="str">
        <x:v>April 2027</x:v>
      </x:c>
      <x:c r="B14" s="53" t="n">
        <x:v>0</x:v>
      </x:c>
      <x:c r="C14" s="53" t="n">
        <x:v>0</x:v>
      </x:c>
      <x:c r="D14" s="53" t="n">
        <x:v>0</x:v>
      </x:c>
      <x:c r="E14" s="53" t="n">
        <x:v>0</x:v>
      </x:c>
      <x:c r="F14" s="53" t="n">
        <x:v>0</x:v>
      </x:c>
      <x:c r="G14" s="53" t="n">
        <x:v>0</x:v>
      </x:c>
      <x:c r="H14" s="53" t="n">
        <x:f>SUM(B14:G14)</x:f>
        <x:v>0</x:v>
      </x:c>
      <x:c r="I14" s="53" t="n">
        <x:v>0</x:v>
      </x:c>
      <x:c r="J14" s="53" t="n">
        <x:v>0</x:v>
      </x:c>
      <x:c r="K14" s="53" t="n">
        <x:v>0</x:v>
      </x:c>
      <x:c r="L14" s="53" t="n">
        <x:v>0</x:v>
      </x:c>
      <x:c r="M14" s="53" t="n">
        <x:f>SUM(I14:L14)</x:f>
        <x:v>0</x:v>
      </x:c>
      <x:c r="N14" s="53" t="n">
        <x:f>M14-H14</x:f>
        <x:v>0</x:v>
      </x:c>
      <x:c r="O14" s="54" t="n">
        <x:f>IF(M14=0,0,N14/M14)</x:f>
        <x:v>0</x:v>
      </x:c>
      <x:c r="P14" s="14" t="str"/>
    </x:row>
  </x:sheetData>
  <x:mergeCells>
    <x:mergeCell ref="A1:P1"/>
  </x:mergeCells>
  <x:conditionalFormatting sqref="N3:N14">
    <x:cfRule type="expression" dxfId="17" priority="1">
      <x:formula>N3&lt;0</x:formula>
    </x:cfRule>
    <x:cfRule type="expression" dxfId="18" priority="2">
      <x:formula>N3&gt;=0</x:formula>
    </x:cfRule>
  </x:conditionalFormatting>
  <x:conditionalFormatting sqref="O3:O14">
    <x:cfRule type="expression" dxfId="19" priority="3">
      <x:formula>O3&lt;0.2</x:formula>
    </x:cfRule>
    <x:cfRule type="expression" dxfId="20" priority="4">
      <x:formula>O3&gt;=0.2</x:formula>
    </x:cfRule>
  </x:conditionalFormatting>
  <x:conditionalFormatting sqref="M3:M14">
    <x:cfRule type="dataBar" priority="5">
      <x:dataBar>
        <x:cfvo type="min"/>
        <x:cfvo type="max"/>
        <x:color rgb="70AD47"/>
      </x:dataBar>
    </x:cfRule>
  </x:conditionalFormatting>
  <x:conditionalFormatting sqref="H3:H14">
    <x:cfRule type="dataBar" priority="6">
      <x:dataBar>
        <x:cfvo type="min"/>
        <x:cfvo type="max"/>
        <x:color rgb="ED7D31"/>
      </x:dataBar>
    </x:cfRule>
  </x:conditionalFormatting>
  <x:pageMargins left="0.7" right="0.7" top="0.75" bottom="0.75" header="0.3" footer="0.3"/>
  <x:drawing xmlns:r="http://schemas.openxmlformats.org/officeDocument/2006/relationships" r:id="R3adf94bbc7334c32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6" hidden="0" customWidth="1"/>
    <x:col min="4" max="4" width="24" hidden="0" customWidth="1"/>
    <x:col min="5" max="5" width="18" hidden="0" customWidth="1"/>
    <x:col min="6" max="6" width="10" hidden="0" customWidth="1"/>
  </x:cols>
  <x:sheetData>
    <x:row r="1">
      <x:c r="A1" s="27" t="str">
        <x:v>How to Use This Dashboard</x:v>
      </x:c>
      <x:c r="B1" s="27"/>
      <x:c r="C1" s="27"/>
      <x:c r="D1" s="27"/>
      <x:c r="E1" s="27"/>
      <x:c r="F1" s="27"/>
    </x:row>
    <x:row r="2">
      <x:c r="A2" s="44" t="str">
        <x:v>Section</x:v>
      </x:c>
      <x:c r="B2" s="44" t="str">
        <x:v>What to do</x:v>
      </x:c>
      <x:c r="C2" s="44" t="str">
        <x:v>Update frequency</x:v>
      </x:c>
      <x:c r="D2" s="44" t="str">
        <x:v>Tip</x:v>
      </x:c>
      <x:c r="E2" s="44" t="str">
        <x:v>Link / Sheet</x:v>
      </x:c>
      <x:c r="F2" s="44" t="str">
        <x:v>Status</x:v>
      </x:c>
    </x:row>
    <x:row r="3">
      <x:c r="A3" s="14" t="str">
        <x:v>Execution Tracker</x:v>
      </x:c>
      <x:c r="B3" s="14" t="str">
        <x:v>Update Check, Status, Progress %, Start Date, and Due Date for each task.</x:v>
      </x:c>
      <x:c r="C3" s="14" t="str">
        <x:v>2-3 times per week</x:v>
      </x:c>
      <x:c r="D3" s="14" t="str">
        <x:v>Use Status + Deadline Flag together to spot bottlenecks.</x:v>
      </x:c>
      <x:c r="E3" s="14" t="str">
        <x:v>Execution Tracker</x:v>
      </x:c>
      <x:c r="F3" s="14" t="str">
        <x:v>Ready</x:v>
      </x:c>
    </x:row>
    <x:row r="4">
      <x:c r="A4" s="14" t="str">
        <x:v>Budget &amp; Revenue</x:v>
      </x:c>
      <x:c r="B4" s="14" t="str">
        <x:v>Enter your monthly expenses and revenue by channel. Profit and margin calculate automatically.</x:v>
      </x:c>
      <x:c r="C4" s="14" t="str">
        <x:v>Weekly or monthly</x:v>
      </x:c>
      <x:c r="D4" s="14" t="str">
        <x:v>Keep all amounts in one currency for clean tracking.</x:v>
      </x:c>
      <x:c r="E4" s="14" t="str">
        <x:v>Budget &amp; Revenue</x:v>
      </x:c>
      <x:c r="F4" s="14" t="str">
        <x:v>Ready</x:v>
      </x:c>
    </x:row>
    <x:row r="5">
      <x:c r="A5" s="14" t="str">
        <x:v>KPI Dashboard</x:v>
      </x:c>
      <x:c r="B5" s="14" t="str">
        <x:v>Type your current numbers and monthly targets to compare progress.</x:v>
      </x:c>
      <x:c r="C5" s="14" t="str">
        <x:v>Monthly</x:v>
      </x:c>
      <x:c r="D5" s="14" t="str">
        <x:v>Review only the KPIs that drive decisions.</x:v>
      </x:c>
      <x:c r="E5" s="14" t="str">
        <x:v>KPI Dashboard</x:v>
      </x:c>
      <x:c r="F5" s="14" t="str">
        <x:v>Ready</x:v>
      </x:c>
    </x:row>
    <x:row r="6">
      <x:c r="A6" s="14" t="str">
        <x:v>Content Plan</x:v>
      </x:c>
      <x:c r="B6" s="14" t="str">
        <x:v>Use this sheet to plan channel content themes and posting cadence.</x:v>
      </x:c>
      <x:c r="C6" s="14" t="str">
        <x:v>Weekly</x:v>
      </x:c>
      <x:c r="D6" s="14" t="str">
        <x:v>Batch content one week in advance.</x:v>
      </x:c>
      <x:c r="E6" s="14" t="str">
        <x:v>Content Plan</x:v>
      </x:c>
      <x:c r="F6" s="14" t="str">
        <x:v>Ready</x:v>
      </x:c>
    </x:row>
    <x:row r="7">
      <x:c r="A7" s="14" t="str">
        <x:v>90-Day Plan</x:v>
      </x:c>
      <x:c r="B7" s="14" t="str">
        <x:v>Treat this as your sprint board for the current quarter.</x:v>
      </x:c>
      <x:c r="C7" s="14" t="str">
        <x:v>Weekly</x:v>
      </x:c>
      <x:c r="D7" s="14" t="str">
        <x:v>Move tasks into Execution Tracker if you want more detail.</x:v>
      </x:c>
      <x:c r="E7" s="14" t="str">
        <x:v>90-Day Plan</x:v>
      </x:c>
      <x:c r="F7" s="14" t="str">
        <x:v>Ready</x:v>
      </x:c>
    </x:row>
  </x:sheetData>
  <x:mergeCells>
    <x:mergeCell ref="A1:F1"/>
  </x:mergeCells>
  <x:pageMargins left="0.7" right="0.7" top="0.75" bottom="0.75" header="0.3" footer="0.3"/>
</x:worksheet>
</file>